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lokes\Desktop\data analyst\"/>
    </mc:Choice>
  </mc:AlternateContent>
  <xr:revisionPtr revIDLastSave="0" documentId="13_ncr:1_{B6A027DB-48DC-4271-8735-5A6260421B58}" xr6:coauthVersionLast="47" xr6:coauthVersionMax="47" xr10:uidLastSave="{00000000-0000-0000-0000-000000000000}"/>
  <bookViews>
    <workbookView xWindow="-110" yWindow="-110" windowWidth="19420" windowHeight="10300" firstSheet="2" activeTab="3" xr2:uid="{26D4546B-D2A1-4444-8EAF-A6228F96F0C1}"/>
  </bookViews>
  <sheets>
    <sheet name="Data" sheetId="2" r:id="rId1"/>
    <sheet name="Customer Centre Report" sheetId="5" r:id="rId2"/>
    <sheet name="Pivots" sheetId="6" r:id="rId3"/>
    <sheet name="Assets" sheetId="4" r:id="rId4"/>
  </sheets>
  <definedNames>
    <definedName name="_xlnm._FilterDatabase" localSheetId="0"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02" r:id="rId9"/>
    <pivotCache cacheId="105" r:id="rId10"/>
    <pivotCache cacheId="108" r:id="rId11"/>
    <pivotCache cacheId="111" r:id="rId12"/>
    <pivotCache cacheId="11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H76" i="6" l="1"/>
  <c r="H74" i="6"/>
  <c r="H73" i="6"/>
  <c r="G53" i="6"/>
  <c r="G54" i="6"/>
  <c r="G55" i="6"/>
  <c r="G56" i="6"/>
  <c r="G57" i="6"/>
  <c r="H66" i="6"/>
  <c r="H69" i="6" s="1"/>
  <c r="H67" i="6"/>
  <c r="H70" i="6" s="1"/>
  <c r="H65" i="6"/>
  <c r="R18" i="5"/>
  <c r="R19" i="5"/>
  <c r="S19" i="5"/>
  <c r="S18" i="5"/>
  <c r="R25" i="5"/>
  <c r="R26" i="5"/>
  <c r="R27" i="5"/>
  <c r="R28" i="5"/>
  <c r="R29" i="5"/>
  <c r="R20" i="5"/>
  <c r="R21" i="5"/>
  <c r="R22" i="5"/>
  <c r="T18" i="5"/>
  <c r="U18" i="5"/>
  <c r="V18" i="5"/>
  <c r="W18" i="5"/>
  <c r="X18" i="5"/>
  <c r="T19" i="5"/>
  <c r="U19" i="5"/>
  <c r="V19" i="5"/>
  <c r="W19" i="5"/>
  <c r="X19" i="5"/>
  <c r="S20" i="5"/>
  <c r="T20" i="5"/>
  <c r="U20" i="5"/>
  <c r="V20" i="5"/>
  <c r="W20" i="5"/>
  <c r="X20" i="5"/>
  <c r="S21" i="5"/>
  <c r="T21" i="5"/>
  <c r="U21" i="5"/>
  <c r="V21" i="5"/>
  <c r="W21" i="5"/>
  <c r="X21" i="5"/>
  <c r="S22" i="5"/>
  <c r="T22" i="5"/>
  <c r="U22" i="5"/>
  <c r="V22" i="5"/>
  <c r="W22" i="5"/>
  <c r="X22" i="5"/>
  <c r="R23" i="5"/>
  <c r="S23" i="5"/>
  <c r="T23" i="5"/>
  <c r="U23" i="5"/>
  <c r="V23" i="5"/>
  <c r="W23" i="5"/>
  <c r="X23" i="5"/>
  <c r="R24" i="5"/>
  <c r="S24" i="5"/>
  <c r="T24" i="5"/>
  <c r="U24" i="5"/>
  <c r="V24" i="5"/>
  <c r="W24" i="5"/>
  <c r="X24" i="5"/>
  <c r="S25" i="5"/>
  <c r="T25" i="5"/>
  <c r="U25" i="5"/>
  <c r="V25" i="5"/>
  <c r="W25" i="5"/>
  <c r="X25" i="5"/>
  <c r="S26" i="5"/>
  <c r="T26" i="5"/>
  <c r="U26" i="5"/>
  <c r="V26" i="5"/>
  <c r="W26" i="5"/>
  <c r="X26" i="5"/>
  <c r="S27" i="5"/>
  <c r="T27" i="5"/>
  <c r="U27" i="5"/>
  <c r="V27" i="5"/>
  <c r="W27" i="5"/>
  <c r="X27" i="5"/>
  <c r="S28" i="5"/>
  <c r="T28" i="5"/>
  <c r="U28" i="5"/>
  <c r="V28" i="5"/>
  <c r="W28" i="5"/>
  <c r="X28" i="5"/>
  <c r="S29" i="5"/>
  <c r="T29" i="5"/>
  <c r="U29" i="5"/>
  <c r="V29" i="5"/>
  <c r="W29" i="5"/>
  <c r="X29" i="5"/>
  <c r="R30" i="5"/>
  <c r="S30" i="5"/>
  <c r="T30" i="5"/>
  <c r="U30" i="5"/>
  <c r="V30" i="5"/>
  <c r="W30" i="5"/>
  <c r="X30" i="5"/>
  <c r="R31" i="5"/>
  <c r="S31" i="5"/>
  <c r="T31" i="5"/>
  <c r="U31" i="5"/>
  <c r="V31" i="5"/>
  <c r="W31" i="5"/>
  <c r="X31" i="5"/>
  <c r="R32" i="5"/>
  <c r="S32" i="5"/>
  <c r="T32" i="5"/>
  <c r="U32" i="5"/>
  <c r="V32" i="5"/>
  <c r="W32" i="5"/>
  <c r="X32" i="5"/>
  <c r="R33" i="5"/>
  <c r="S33" i="5"/>
  <c r="T33" i="5"/>
  <c r="U33" i="5"/>
  <c r="V33" i="5"/>
  <c r="W33" i="5"/>
  <c r="X33" i="5"/>
  <c r="R34" i="5"/>
  <c r="S34" i="5"/>
  <c r="T34" i="5"/>
  <c r="U34" i="5"/>
  <c r="V34" i="5"/>
  <c r="W34" i="5"/>
  <c r="X34" i="5"/>
  <c r="R35" i="5"/>
  <c r="S35" i="5"/>
  <c r="T35" i="5"/>
  <c r="U35" i="5"/>
  <c r="V35" i="5"/>
  <c r="W35" i="5"/>
  <c r="X35" i="5"/>
  <c r="J50" i="6"/>
  <c r="H53" i="6"/>
  <c r="H54" i="6"/>
  <c r="H55" i="6"/>
  <c r="H56" i="6"/>
  <c r="H57" i="6"/>
  <c r="F54" i="6"/>
  <c r="F55" i="6"/>
  <c r="F56" i="6"/>
  <c r="F57" i="6"/>
  <c r="F53"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4" i="6" l="1"/>
  <c r="J55" i="6"/>
  <c r="J57" i="6"/>
  <c r="I53" i="6"/>
  <c r="I57" i="6"/>
  <c r="I56" i="6"/>
  <c r="I55" i="6"/>
  <c r="I54" i="6"/>
  <c r="J53" i="6"/>
  <c r="J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546AD5-3C1D-4225-98DF-0C4EAAEC30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EBE9ABE-3D37-4A79-810B-9387D199213E}"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75BA3F78-A460-41E3-BFBA-861417BB0951}"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4">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<sst xmlns="http://schemas.openxmlformats.org/spreadsheetml/2006/main" count="3176" uniqueCount="1084">
  <si>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</si>
  <si>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</si>
  <si>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</si>
  <si>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</si>
  <si>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</si>
  <si>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</si>
  <si>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</si>
  <si>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</si>
  <si>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</si>
  <si>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</si>
  <si>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</si>
  <si>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</si>
  <si>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</si>
  <si>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</si>
  <si>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</si>
  <si>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</si>
  <si>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</si>
  <si>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</si>
  <si>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</si>
  <si>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</si>
  <si>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</si>
  <si>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</si>
  <si>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</si>
  <si>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</si>
  <si>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</si>
  <si>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</si>
  <si>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</si>
  <si>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</si>
  <si>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</si>
  <si>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</si>
  <si>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</si>
  <si>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</si>
  <si>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</si>
  <si>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</si>
  <si>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</si>
  <si>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</si>
  <si>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</si>
  <si>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</si>
  <si>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</si>
  <si>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</si>
  <si>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</si>
  <si>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</si>
  <si>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</si>
  <si>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</si>
  <si>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</si>
  <si>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</si>
  <si>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</si>
  <si>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</si>
  <si>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</si>
  <si>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</si>
  <si>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</si>
  <si>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</si>
  <si>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</si>
  <si>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</si>
  <si>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</si>
  <si>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</si>
  <si>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</si>
  <si>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</si>
  <si>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</si>
  <si>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</si>
  <si>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</si>
  <si>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</si>
  <si>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</si>
  <si>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</si>
  <si>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</si>
  <si>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</si>
  <si>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</si>
  <si>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</si>
  <si>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</si>
  <si>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</si>
  <si>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</si>
  <si>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</si>
  <si>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</si>
  <si>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</si>
  <si>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</si>
  <si>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</si>
  <si>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</si>
  <si>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</si>
  <si>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</si>
  <si>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</si>
  <si>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</si>
  <si>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</si>
  <si>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</si>
  <si>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</si>
  <si>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</si>
  <si>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</si>
  <si>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</si>
  <si>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</si>
  <si>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</si>
  <si>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</si>
  <si>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</si>
  <si>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</si>
  <si>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</si>
  <si>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</si>
  <si>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</si>
  <si>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</si>
  <si>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</si>
  <si>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</si>
  <si>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</si>
  <si>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</si>
  <si>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</si>
  <si>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</si>
  <si>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</si>
  <si>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</si>
  <si>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</si>
  <si>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</si>
  <si>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</si>
  <si>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</si>
  <si>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</si>
  <si>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</si>
  <si>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</si>
  <si>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</si>
  <si>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</si>
  <si>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</si>
  <si>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</si>
  <si>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</si>
  <si>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</si>
  <si>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</si>
  <si>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</si>
  <si>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</si>
  <si>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</si>
  <si>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</si>
  <si>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</si>
  <si>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</si>
  <si>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</si>
  <si>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</si>
  <si>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</si>
  <si>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</si>
  <si>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</si>
  <si>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</si>
  <si>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</si>
  <si>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</si>
  <si>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</si>
  <si>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</si>
  <si>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</si>
  <si>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</si>
  <si>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</si>
  <si>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</si>
  <si>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</si>
  <si>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</si>
  <si>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</si>
  <si>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</si>
  <si>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</si>
  <si>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</si>
  <si>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</si>
  <si>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</si>
  <si>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</si>
  <si>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</si>
  <si>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</si>
  <si>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</si>
  <si>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</si>
  <si>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</si>
  <si>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</si>
  <si>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</si>
  <si>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</si>
  <si>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</si>
  <si>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</si>
  <si>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</si>
  <si>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</si>
  <si>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</si>
  <si>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</si>
  <si>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</si>
  <si>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</si>
  <si>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</si>
  <si>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</si>
  <si>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</si>
  <si>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</si>
  <si>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</si>
  <si>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</si>
  <si>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</si>
  <si>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</si>
  <si>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</si>
  <si>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</si>
  <si>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</si>
  <si>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</si>
  <si>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</si>
  <si>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</si>
  <si>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</si>
  <si>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</si>
  <si>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</si>
  <si>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</si>
  <si>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</si>
  <si>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</si>
  <si>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</si>
  <si>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</si>
  <si>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</si>
  <si>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</si>
  <si>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</si>
  <si>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</si>
  <si>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</si>
  <si>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</si>
  <si>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</si>
  <si>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</si>
  <si>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</si>
  <si>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</si>
  <si>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</si>
  <si>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</si>
  <si>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</si>
  <si>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</si>
  <si>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</si>
  <si>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</si>
  <si>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</si>
  <si>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</si>
  <si>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</si>
  <si>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</si>
  <si>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</si>
  <si>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</si>
  <si>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</si>
  <si>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</si>
  <si>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</si>
  <si>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</si>
  <si>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</si>
  <si>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</si>
  <si>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</si>
  <si>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</si>
  <si>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</si>
  <si>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</si>
  <si>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</si>
  <si>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</si>
  <si>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</si>
  <si>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</si>
  <si>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</si>
  <si>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</si>
  <si>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</si>
  <si>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</si>
  <si>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</si>
  <si>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</si>
  <si>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</si>
  <si>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</si>
  <si>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</si>
  <si>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</si>
  <si>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</si>
  <si>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</si>
  <si>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</si>
  <si>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</si>
  <si>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</si>
  <si>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</si>
  <si>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</si>
  <si>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</si>
  <si>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</si>
  <si>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</si>
  <si>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</si>
  <si>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</si>
  <si>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</si>
  <si>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</si>
  <si>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</si>
  <si>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</si>
  <si>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</si>
  <si>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</si>
  <si>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</si>
  <si>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</si>
  <si>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</si>
  <si>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</si>
  <si>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</si>
  <si>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</si>
  <si>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</si>
  <si>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</si>
  <si>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</si>
  <si>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</si>
  <si>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</si>
  <si>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</si>
  <si>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</si>
  <si>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</si>
  <si>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</si>
  <si>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</si>
  <si>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</si>
  <si>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</si>
  <si>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</si>
  <si>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</si>
  <si>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</si>
  <si>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</si>
  <si>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</si>
  <si>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</si>
  <si>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</si>
  <si>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</si>
  <si>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</si>
  <si>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</si>
  <si>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</si>
  <si>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</si>
  <si>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</si>
  <si>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</si>
  <si>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</si>
  <si>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</si>
  <si>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</si>
  <si>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</si>
  <si>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</si>
  <si>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</si>
  <si>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</si>
  <si>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</si>
  <si>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</si>
  <si>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</si>
  <si>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</si>
  <si>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</si>
  <si>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</si>
  <si>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</si>
  <si>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</si>
  <si>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</si>
  <si>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</si>
  <si>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</si>
  <si>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</si>
  <si>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</si>
  <si>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</si>
  <si>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</si>
  <si>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</si>
  <si>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</si>
  <si>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</si>
  <si>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</si>
  <si>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</si>
  <si>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</si>
  <si>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</si>
  <si>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</si>
  <si>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</si>
  <si>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</si>
  <si>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</si>
  <si>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</si>
  <si>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</si>
  <si>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</si>
  <si>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</si>
  <si>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</si>
  <si>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</si>
  <si>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</si>
  <si>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</si>
  <si>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</si>
  <si>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</si>
  <si>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</si>
  <si>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</si>
  <si>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</si>
  <si>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</si>
  <si>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</si>
  <si>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</si>
  <si>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</si>
  <si>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</si>
  <si>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</si>
  <si>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</si>
  <si>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</si>
  <si>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</si>
  <si>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</si>
  <si>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</si>
  <si>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</si>
  <si>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</si>
  <si>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</si>
  <si>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</si>
  <si>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</si>
  <si>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</si>
  <si>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</si>
  <si>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</si>
  <si>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</si>
  <si>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</si>
  <si>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</si>
  <si>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</si>
  <si>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</si>
  <si>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</si>
  <si>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</si>
  <si>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</si>
  <si>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</si>
  <si>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</si>
  <si>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</si>
  <si>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</si>
  <si>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</si>
  <si>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</si>
  <si>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</si>
  <si>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</si>
  <si>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</si>
  <si>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</si>
  <si>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</si>
  <si>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</si>
  <si>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</si>
  <si>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</si>
  <si>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</si>
  <si>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</si>
  <si>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</si>
  <si>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</si>
  <si>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</si>
  <si>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</si>
  <si>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</si>
  <si>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</si>
  <si>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</si>
  <si>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</si>
  <si>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</si>
  <si>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</si>
  <si>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</si>
  <si>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</si>
  <si>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</si>
  <si>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</si>
  <si>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</si>
  <si>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</si>
  <si>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</si>
  <si>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</si>
  <si>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</si>
  <si>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</si>
  <si>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</si>
  <si>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</si>
  <si>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</si>
  <si>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</si>
  <si>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</si>
  <si>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</si>
  <si>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</si>
  <si>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</si>
  <si>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</si>
  <si>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</si>
  <si>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</si>
  <si>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</si>
  <si>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</si>
  <si>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</si>
  <si>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</si>
  <si>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</si>
  <si>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</si>
  <si>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</si>
  <si>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</si>
  <si>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</si>
  <si>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</si>
  <si>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</si>
  <si>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</si>
  <si>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</si>
  <si>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</si>
  <si>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</si>
  <si>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</si>
  <si>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</si>
  <si>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</si>
  <si>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</si>
  <si>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</si>
  <si>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</si>
  <si>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</si>
  <si>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</si>
  <si>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</si>
  <si>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</si>
  <si>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</si>
  <si>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</si>
  <si>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</si>
  <si>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</si>
  <si>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</si>
  <si>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</si>
  <si>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</si>
  <si>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</si>
  <si>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</si>
  <si>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</si>
  <si>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</si>
  <si>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</si>
  <si>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</si>
  <si>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</si>
  <si>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</si>
  <si>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</si>
  <si>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</si>
  <si>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</si>
  <si>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</si>
  <si>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</si>
  <si>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</si>
  <si>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</si>
  <si>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</si>
  <si>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</si>
  <si>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</si>
  <si>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</si>
  <si>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</si>
  <si>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</si>
  <si>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</si>
  <si>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</si>
  <si>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</si>
  <si>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</si>
  <si>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</si>
  <si>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</si>
  <si>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</si>
  <si>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</si>
  <si>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</si>
  <si>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</si>
  <si>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</si>
  <si>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</si>
  <si>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</si>
  <si>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</si>
  <si>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</si>
  <si>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</si>
  <si>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</si>
  <si>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</si>
  <si>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</si>
  <si>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</si>
  <si>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</si>
  <si>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</si>
  <si>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</si>
  <si>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</si>
  <si>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</si>
  <si>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</si>
  <si>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</si>
  <si>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</si>
  <si>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</si>
  <si>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</si>
  <si>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</si>
  <si>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</si>
  <si>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</si>
  <si>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</si>
  <si>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</si>
  <si>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</si>
  <si>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</si>
  <si>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</si>
  <si>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</si>
  <si>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</si>
  <si>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</si>
  <si>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</si>
  <si>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</si>
  <si>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</si>
  <si>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</si>
  <si>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</si>
  <si>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</si>
  <si>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</si>
  <si>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</si>
  <si>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</si>
  <si>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</si>
  <si>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</si>
  <si>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</si>
  <si>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</si>
  <si>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</si>
  <si>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</si>
  <si>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</si>
  <si>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</si>
  <si>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</si>
  <si>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</si>
  <si>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</si>
  <si>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</si>
  <si>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</si>
  <si>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</si>
  <si>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</si>
  <si>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</si>
  <si>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</si>
  <si>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</si>
  <si>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</si>
  <si>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</si>
  <si>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</si>
  <si>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</si>
  <si>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</si>
  <si>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</si>
  <si>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</si>
  <si>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</si>
  <si>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</si>
  <si>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</si>
  <si>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</si>
  <si>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</si>
  <si>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</si>
  <si>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</si>
  <si>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</si>
  <si>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</si>
  <si>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</si>
  <si>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</si>
  <si>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</si>
  <si>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</si>
  <si>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</si>
  <si>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</si>
  <si>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</si>
  <si>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</si>
  <si>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</si>
  <si>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</si>
  <si>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</si>
  <si>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</si>
  <si>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</si>
  <si>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</si>
  <si>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</si>
  <si>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</si>
  <si>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</si>
  <si>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</si>
  <si>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</si>
  <si>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</si>
  <si>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</si>
  <si>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</si>
  <si>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</si>
  <si>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</si>
  <si>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</si>
  <si>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</si>
  <si>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</si>
  <si>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</si>
  <si>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</si>
  <si>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</si>
  <si>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</si>
  <si>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</si>
  <si>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</si>
  <si>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</si>
  <si>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</si>
  <si>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</si>
  <si>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</si>
  <si>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</si>
  <si>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</si>
  <si>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</si>
  <si>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</si>
  <si>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</si>
  <si>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</si>
  <si>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</si>
  <si>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</si>
  <si>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</si>
  <si>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</si>
  <si>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</si>
  <si>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</si>
  <si>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</si>
  <si>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</si>
  <si>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</si>
  <si>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</si>
  <si>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</si>
  <si>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</si>
  <si>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</si>
  <si>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</si>
  <si>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</si>
  <si>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</si>
  <si>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</si>
  <si>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</si>
  <si>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</si>
  <si>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</si>
  <si>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</si>
  <si>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</si>
  <si>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</si>
  <si>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</si>
  <si>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</si>
  <si>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</si>
  <si>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</si>
  <si>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</si>
  <si>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</si>
  <si>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</si>
  <si>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</si>
  <si>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</si>
  <si>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</si>
  <si>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</si>
  <si>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</si>
  <si>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</si>
  <si>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</si>
  <si>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</si>
  <si>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</si>
  <si>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</si>
  <si>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</si>
  <si>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</si>
  <si>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</si>
  <si>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</si>
  <si>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</si>
  <si>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</si>
  <si>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</si>
  <si>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</si>
  <si>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</si>
  <si>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</si>
  <si>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</si>
  <si>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</si>
  <si>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</si>
  <si>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</si>
  <si>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</si>
  <si>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</si>
  <si>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</si>
  <si>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</si>
  <si>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</si>
  <si>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</si>
  <si>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</si>
  <si>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</si>
  <si>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</si>
  <si>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</si>
  <si>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</si>
  <si>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</si>
  <si>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</si>
  <si>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</si>
  <si>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</si>
  <si>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</si>
  <si>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</si>
  <si>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</si>
  <si>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</si>
  <si>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</si>
  <si>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</si>
  <si>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</si>
  <si>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</si>
  <si>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</si>
  <si>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</si>
  <si>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</si>
  <si>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</si>
  <si>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</si>
  <si>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</si>
  <si>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</si>
  <si>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</si>
  <si>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</si>
  <si>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</si>
  <si>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</si>
  <si>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</si>
  <si>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</si>
  <si>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</si>
  <si>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</si>
  <si>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</si>
  <si>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</si>
  <si>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</si>
  <si>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</si>
  <si>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</si>
  <si>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</si>
  <si>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</si>
  <si>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</si>
  <si>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</si>
  <si>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</si>
  <si>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</si>
  <si>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</si>
  <si>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</si>
  <si>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</si>
  <si>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</si>
  <si>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</si>
  <si>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</si>
  <si>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</si>
  <si>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</si>
  <si>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</si>
  <si>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</si>
  <si>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</si>
  <si>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</si>
  <si>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</si>
  <si>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</si>
  <si>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</si>
  <si>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</si>
  <si>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</si>
  <si>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</si>
  <si>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</si>
  <si>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</si>
  <si>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</si>
  <si>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</si>
  <si>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</si>
  <si>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</si>
  <si>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</si>
  <si>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</si>
  <si>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</si>
  <si>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</si>
  <si>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</si>
  <si>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</si>
  <si>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</si>
  <si>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</si>
  <si>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</si>
  <si>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</si>
  <si>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</si>
  <si>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</si>
  <si>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</si>
  <si>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</si>
  <si>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</si>
  <si>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</si>
  <si>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</si>
  <si>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</si>
  <si>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</si>
  <si>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</si>
  <si>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</si>
  <si>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</si>
  <si>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</si>
  <si>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</si>
  <si>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</si>
  <si>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</si>
  <si>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</si>
  <si>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</si>
  <si>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</si>
  <si>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</si>
  <si>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</si>
  <si>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</si>
  <si>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</si>
  <si>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</si>
  <si>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</si>
  <si>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</si>
  <si>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</si>
  <si>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</si>
  <si>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</si>
  <si>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</si>
  <si>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</si>
  <si>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</si>
  <si>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</si>
  <si>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</si>
  <si>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</si>
  <si>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</si>
  <si>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</si>
  <si>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</si>
  <si>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</si>
  <si>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</si>
  <si>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</si>
  <si>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</si>
  <si>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</si>
  <si>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</si>
  <si>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</si>
  <si>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</si>
  <si>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</si>
  <si>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</si>
  <si>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</si>
  <si>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</si>
  <si>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</si>
  <si>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</si>
  <si>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</si>
  <si>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</si>
  <si>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</si>
  <si>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</si>
  <si>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</si>
  <si>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</si>
  <si>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</si>
  <si>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</si>
  <si>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</si>
  <si>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</si>
  <si>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</si>
  <si>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</si>
  <si>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</si>
  <si>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</si>
  <si>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</si>
  <si>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</si>
  <si>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</si>
  <si>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</si>
  <si>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</si>
  <si>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</si>
  <si>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</si>
  <si>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</si>
  <si>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</si>
  <si>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</si>
  <si>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</si>
  <si>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</si>
  <si>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</si>
  <si>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</si>
  <si>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</si>
  <si>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</si>
  <si>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</si>
  <si>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</si>
  <si>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</si>
  <si>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</si>
  <si>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</si>
  <si>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</si>
  <si>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</si>
  <si>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</si>
  <si>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</si>
  <si>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</si>
  <si>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</si>
  <si>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</si>
  <si>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</si>
  <si>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</si>
  <si>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</si>
  <si>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</si>
  <si>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</si>
  <si>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</si>
  <si>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</si>
  <si>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</si>
  <si>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</si>
  <si>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</si>
  <si>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</si>
  <si>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</si>
  <si>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</si>
  <si>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</si>
  <si>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</si>
  <si>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</si>
  <si>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</si>
  <si>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</si>
  <si>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</si>
  <si>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</si>
  <si>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</si>
  <si>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</si>
  <si>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</si>
  <si>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</si>
  <si>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</si>
  <si>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</si>
  <si>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</si>
  <si>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</si>
  <si>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</si>
  <si>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</si>
  <si>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</si>
  <si>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</si>
  <si>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</si>
  <si>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</si>
  <si>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</si>
  <si>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</si>
  <si>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</si>
  <si>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</si>
  <si>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</si>
  <si>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</si>
  <si>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</si>
  <si>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</si>
  <si>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</si>
  <si>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</si>
  <si>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</si>
  <si>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</si>
  <si>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</si>
  <si>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</si>
  <si>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</si>
  <si>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</si>
  <si>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</si>
  <si>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</si>
  <si>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</si>
  <si>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</si>
  <si>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</si>
  <si>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</si>
  <si>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</si>
  <si>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</si>
  <si>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</si>
  <si>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</si>
  <si>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</si>
  <si>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</si>
  <si>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</si>
  <si>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</si>
  <si>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</si>
  <si>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</si>
  <si>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</si>
  <si>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</si>
  <si>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</si>
  <si>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</si>
  <si>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</si>
  <si>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</si>
  <si>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</si>
  <si>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</si>
  <si>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</si>
  <si>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</si>
  <si>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</si>
  <si>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</si>
  <si>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</si>
  <si>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</si>
  <si>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</si>
  <si>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</si>
  <si>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</si>
  <si>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</si>
  <si>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</si>
  <si>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</si>
  <si>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</si>
  <si>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</si>
  <si>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</si>
  <si>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</si>
  <si>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</si>
  <si>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</si>
  <si>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</si>
  <si>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</si>
  <si>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</si>
  <si>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</si>
  <si>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</si>
  <si>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</si>
  <si>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</si>
  <si>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</si>
  <si>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</si>
  <si>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</si>
  <si>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</si>
  <si>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</si>
  <si>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</si>
  <si>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</si>
  <si>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</si>
  <si>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</si>
  <si>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</si>
  <si>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</si>
  <si>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</si>
  <si>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</si>
  <si>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</si>
  <si>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</si>
  <si>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</si>
  <si>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</si>
  <si>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</si>
  <si>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</si>
  <si>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</si>
  <si>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</si>
  <si>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</si>
  <si>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</si>
  <si>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</si>
  <si>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</si>
  <si>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</si>
  <si>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</si>
  <si>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</si>
  <si>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</si>
  <si>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</si>
  <si>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</si>
  <si>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</si>
  <si>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</si>
  <si>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</si>
  <si>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</si>
  <si>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</si>
  <si>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</si>
  <si>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</si>
  <si>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</si>
  <si>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</si>
  <si>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</si>
  <si>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</si>
  <si>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</si>
  <si>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</si>
  <si>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</si>
  <si>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</si>
  <si>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</si>
  <si>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</si>
  <si>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</si>
  <si>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</si>
  <si>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</si>
  <si>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</si>
  <si>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</si>
  <si>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</si>
  <si>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</si>
  <si>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</si>
  <si>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</si>
  <si>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</si>
  <si>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</si>
  <si>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</si>
  <si>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</si>
  <si>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</si>
  <si>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</si>
  <si>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</si>
  <si>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</si>
  <si>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</si>
  <si>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</si>
  <si>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</si>
  <si>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</si>
  <si>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</si>
  <si>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</si>
  <si>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</si>
  <si>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</si>
  <si>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</si>
  <si>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</si>
  <si>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</si>
  <si>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</si>
  <si>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</si>
  <si>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</si>
  <si>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</si>
  <si>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</si>
  <si>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</si>
  <si>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</si>
  <si>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</si>
  <si>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</si>
  <si>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</si>
  <si>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</si>
  <si>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</si>
  <si>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</si>
  <si>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</si>
  <si>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</si>
  <si>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</si>
  <si>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</si>
  <si>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</si>
  <si>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</si>
  <si>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</si>
  <si>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</si>
  <si>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</si>
  <si>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</si>
  <si>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</si>
  <si>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</si>
  <si>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</si>
  <si>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</si>
  <si>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</si>
  <si>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</si>
  <si>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</si>
  <si>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</si>
  <si>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</si>
  <si>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</si>
  <si>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</si>
  <si>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</si>
  <si>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</si>
  <si>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</si>
  <si>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</si>
  <si>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</si>
  <si>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</si>
  <si>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</si>
  <si>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</si>
  <si>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</si>
  <si>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</si>
  <si>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</si>
  <si>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</si>
  <si>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</si>
  <si>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</si>
  <si>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</si>
  <si>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</si>
  <si>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</si>
  <si>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</si>
  <si>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</si>
  <si>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</si>
  <si>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</si>
  <si>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CallCount</t>
  </si>
  <si>
    <t>TotalAmount</t>
  </si>
  <si>
    <t>Total Duration</t>
  </si>
  <si>
    <t>Avg Rating</t>
  </si>
  <si>
    <t>5 Star Calls</t>
  </si>
  <si>
    <t>Row Labels</t>
  </si>
  <si>
    <t>Grand Total</t>
  </si>
  <si>
    <t>Jan</t>
  </si>
  <si>
    <t>Feb</t>
  </si>
  <si>
    <t>Mar</t>
  </si>
  <si>
    <t>Apr</t>
  </si>
  <si>
    <t>May</t>
  </si>
  <si>
    <t>Jun</t>
  </si>
  <si>
    <t>Jul</t>
  </si>
  <si>
    <t>Aug</t>
  </si>
  <si>
    <t>Sep</t>
  </si>
  <si>
    <t>Oct</t>
  </si>
  <si>
    <t>Nov</t>
  </si>
  <si>
    <t>Dec</t>
  </si>
  <si>
    <t>CallCount2</t>
  </si>
  <si>
    <t>Friday</t>
  </si>
  <si>
    <t>Monday</t>
  </si>
  <si>
    <t>Saturday</t>
  </si>
  <si>
    <t>Sunday</t>
  </si>
  <si>
    <t>Thursday</t>
  </si>
  <si>
    <t>Tuesday</t>
  </si>
  <si>
    <t>Wednesday</t>
  </si>
  <si>
    <t>for graph</t>
  </si>
  <si>
    <t>Amount</t>
  </si>
  <si>
    <t>Calls</t>
  </si>
  <si>
    <t>Reps</t>
  </si>
  <si>
    <t>Sel.Calls</t>
  </si>
  <si>
    <t>Sel.Amount</t>
  </si>
  <si>
    <t>selected rep</t>
  </si>
  <si>
    <t>Column Labels</t>
  </si>
  <si>
    <t>TOTAL</t>
  </si>
  <si>
    <t>Rep Summary</t>
  </si>
  <si>
    <t>% of calls</t>
  </si>
  <si>
    <t xml:space="preserve">Call rank </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</si>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</sst>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quot;₹&quot;\ #,###.0,&quot;k&quot;"/>
    <numFmt numFmtId="167" formatCode="&quot;₹&quot;\ #,##0;#,##0\ \-&quot;₹&quot;;&quot;₹&quot;\ #,##0"/>
    <numFmt numFmtId="168" formatCode="&quot;₹&quot;\ #,##0"/>
    <numFmt numFmtId="169" formatCode="&quot;₹&quot;\ #,##0;#,##0\ \-&quot;₹&quot;;&quot;₹&quot;\ #,##0"/>
  </numFmts>
  <fonts count="7"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1"/>
      <color theme="1"/>
      <name val="Calibri"/>
      <family val="2"/>
      <scheme val="minor"/>
    </font>
    <font>
      <sz val="10"/>
      <color theme="1"/>
      <name val="Calibri"/>
      <family val="2"/>
      <scheme val="minor"/>
    </font>
    <font>
      <b/>
      <sz val="10"/>
      <color theme="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applyAlignment="1">
      <alignment horizontal="left"/>
    </xf>
    <xf numFmtId="167" fontId="0" fillId="0" borderId="0" xfId="0" applyNumberFormat="1"/>
    <xf numFmtId="0" fontId="0" fillId="0" borderId="0" xfId="0" applyAlignment="1">
      <alignment horizontal="left" indent="1"/>
    </xf>
    <xf numFmtId="0" fontId="5" fillId="5" borderId="10" xfId="0" applyFont="1" applyFill="1" applyBorder="1"/>
    <xf numFmtId="168" fontId="5" fillId="5" borderId="0" xfId="0" applyNumberFormat="1" applyFont="1" applyFill="1" applyAlignment="1">
      <alignment horizontal="center"/>
    </xf>
    <xf numFmtId="168" fontId="5" fillId="5" borderId="14" xfId="0" applyNumberFormat="1" applyFont="1" applyFill="1" applyBorder="1" applyAlignment="1">
      <alignment horizontal="center"/>
    </xf>
    <xf numFmtId="0" fontId="5" fillId="5" borderId="13" xfId="0" applyFont="1" applyFill="1" applyBorder="1" applyAlignment="1">
      <alignment horizontal="left" indent="1"/>
    </xf>
    <xf numFmtId="0" fontId="5" fillId="5" borderId="15" xfId="0" applyFont="1" applyFill="1" applyBorder="1" applyAlignment="1">
      <alignment horizontal="left" indent="1"/>
    </xf>
    <xf numFmtId="168" fontId="5" fillId="5" borderId="16" xfId="0" applyNumberFormat="1" applyFont="1" applyFill="1" applyBorder="1" applyAlignment="1">
      <alignment horizontal="center"/>
    </xf>
    <xf numFmtId="168" fontId="5" fillId="5" borderId="17" xfId="0" applyNumberFormat="1" applyFont="1" applyFill="1" applyBorder="1" applyAlignment="1">
      <alignment horizontal="center"/>
    </xf>
    <xf numFmtId="0" fontId="6" fillId="5" borderId="11" xfId="0" applyFont="1" applyFill="1" applyBorder="1" applyAlignment="1">
      <alignment horizontal="center"/>
    </xf>
    <xf numFmtId="0" fontId="6" fillId="5" borderId="12" xfId="0" applyFont="1" applyFill="1" applyBorder="1" applyAlignment="1">
      <alignment horizontal="center"/>
    </xf>
    <xf numFmtId="0" fontId="6" fillId="5" borderId="13" xfId="0" applyFont="1" applyFill="1" applyBorder="1"/>
    <xf numFmtId="9" fontId="0" fillId="0" borderId="0" xfId="1" applyFont="1"/>
    <xf numFmtId="169" fontId="0" fillId="0" borderId="0" xfId="0" applyNumberFormat="1"/>
  </cellXfs>
  <cellStyles count="2">
    <cellStyle name="Normal" xfId="0" builtinId="0"/>
    <cellStyle name="Percent" xfId="1" builtinId="5"/>
  </cellStyles>
  <dxfs count="26">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5"/>
    </tableStyle>
    <tableStyle name="SlicerStyleDark5 2" pivot="0" table="0" count="10" xr9:uid="{3C168B57-F9B9-4CE5-9B37-B0FDFF118FFF}">
      <tableStyleElement type="wholeTable" dxfId="24"/>
      <tableStyleElement type="headerRow"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 Target="richData/rdrichvalu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[sample-data-excel-portfolio-project.xlsx]Pivots!weekday trend</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78531840434047E-2"/>
          <c:y val="3.4169494244181579E-2"/>
          <c:w val="0.90780952934026071"/>
          <c:h val="0.8910891089108911"/>
        </c:manualLayout>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519A-4889-B078-CF838B179A7D}"/>
            </c:ext>
          </c:extLst>
        </c:ser>
        <c:dLbls>
          <c:showLegendKey val="0"/>
          <c:showVal val="0"/>
          <c:showCatName val="0"/>
          <c:showSerName val="0"/>
          <c:showPercent val="0"/>
          <c:showBubbleSize val="0"/>
        </c:dLbls>
        <c:gapWidth val="25"/>
        <c:axId val="1188343727"/>
        <c:axId val="1188346127"/>
      </c:barChart>
      <c:catAx>
        <c:axId val="1188343727"/>
        <c:scaling>
          <c:orientation val="maxMin"/>
        </c:scaling>
        <c:delete val="0"/>
        <c:axPos val="l"/>
        <c:numFmt formatCode="General" sourceLinked="1"/>
        <c:majorTickMark val="out"/>
        <c:minorTickMark val="none"/>
        <c:tickLblPos val="high"/>
        <c:spPr>
          <a:noFill/>
          <a:ln w="9525" cap="flat" cmpd="sng" algn="ctr">
            <a:solidFill>
              <a:schemeClr val="accent6">
                <a:alpha val="87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88346127"/>
        <c:crosses val="autoZero"/>
        <c:auto val="0"/>
        <c:lblAlgn val="ctr"/>
        <c:lblOffset val="100"/>
        <c:tickLblSkip val="1"/>
        <c:noMultiLvlLbl val="0"/>
      </c:catAx>
      <c:valAx>
        <c:axId val="1188346127"/>
        <c:scaling>
          <c:orientation val="minMax"/>
        </c:scaling>
        <c:delete val="1"/>
        <c:axPos val="t"/>
        <c:numFmt formatCode="#,##0" sourceLinked="1"/>
        <c:majorTickMark val="none"/>
        <c:minorTickMark val="none"/>
        <c:tickLblPos val="nextTo"/>
        <c:crossAx val="118834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[sample-data-excel-portfolio-project.xlsx]Pivots!monthly trend</c:name>
    <c:fmtId val="18"/>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sz="1800">
                <a:solidFill>
                  <a:schemeClr val="accent6"/>
                </a:solidFill>
                <a:latin typeface="Arial Rounded MT Bold" panose="020F0704030504030204" pitchFamily="34" charset="0"/>
              </a:rPr>
              <a:t>Call</a:t>
            </a:r>
            <a:r>
              <a:rPr lang="en-IN" sz="1800" baseline="0">
                <a:solidFill>
                  <a:schemeClr val="accent6"/>
                </a:solidFill>
                <a:latin typeface="Arial Rounded MT Bold" panose="020F0704030504030204" pitchFamily="34" charset="0"/>
              </a:rPr>
              <a:t> Trend</a:t>
            </a:r>
            <a:endParaRPr lang="en-IN" sz="1800">
              <a:solidFill>
                <a:schemeClr val="accent6"/>
              </a:solidFill>
              <a:latin typeface="Arial Rounded MT Bold" panose="020F0704030504030204" pitchFamily="34" charset="0"/>
            </a:endParaRPr>
          </a:p>
        </c:rich>
      </c:tx>
      <c:layout>
        <c:manualLayout>
          <c:xMode val="edge"/>
          <c:yMode val="edge"/>
          <c:x val="2.7908824321909397E-2"/>
          <c:y val="3.1304343539288799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flip="none" rotWithShape="1">
            <a:gsLst>
              <a:gs pos="97000">
                <a:schemeClr val="accent6"/>
              </a:gs>
              <a:gs pos="0">
                <a:schemeClr val="accent6">
                  <a:lumMod val="40000"/>
                  <a:lumOff val="60000"/>
                  <a:alpha val="5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bg1"/>
            </a:solidFill>
            <a:ln w="25400">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CallCount2</c:v>
                </c:pt>
              </c:strCache>
            </c:strRef>
          </c:tx>
          <c:spPr>
            <a:gradFill flip="none" rotWithShape="1">
              <a:gsLst>
                <a:gs pos="97000">
                  <a:schemeClr val="accent6"/>
                </a:gs>
                <a:gs pos="0">
                  <a:schemeClr val="accent6">
                    <a:lumMod val="40000"/>
                    <a:lumOff val="60000"/>
                    <a:alpha val="50000"/>
                  </a:schemeClr>
                </a:gs>
              </a:gsLst>
              <a:lin ang="54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8E23-40B7-BD0A-5C427E4413A7}"/>
            </c:ext>
          </c:extLst>
        </c:ser>
        <c:dLbls>
          <c:showLegendKey val="0"/>
          <c:showVal val="0"/>
          <c:showCatName val="0"/>
          <c:showSerName val="0"/>
          <c:showPercent val="0"/>
          <c:showBubbleSize val="0"/>
        </c:dLbls>
        <c:axId val="1787573167"/>
        <c:axId val="1787561647"/>
      </c:areaChart>
      <c:lineChart>
        <c:grouping val="standard"/>
        <c:varyColors val="0"/>
        <c:ser>
          <c:idx val="0"/>
          <c:order val="0"/>
          <c:tx>
            <c:strRef>
              <c:f>Pivots!$B$24</c:f>
              <c:strCache>
                <c:ptCount val="1"/>
                <c:pt idx="0">
                  <c:v>CallCount</c:v>
                </c:pt>
              </c:strCache>
            </c:strRef>
          </c:tx>
          <c:spPr>
            <a:ln w="28575" cap="rnd">
              <a:solidFill>
                <a:schemeClr val="accent6"/>
              </a:solidFill>
              <a:round/>
            </a:ln>
            <a:effectLst/>
          </c:spPr>
          <c:marker>
            <c:symbol val="circle"/>
            <c:size val="5"/>
            <c:spPr>
              <a:solidFill>
                <a:schemeClr val="bg1"/>
              </a:solidFill>
              <a:ln w="25400">
                <a:solidFill>
                  <a:schemeClr val="accent5">
                    <a:lumMod val="7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8E23-40B7-BD0A-5C427E4413A7}"/>
            </c:ext>
          </c:extLst>
        </c:ser>
        <c:dLbls>
          <c:showLegendKey val="0"/>
          <c:showVal val="0"/>
          <c:showCatName val="0"/>
          <c:showSerName val="0"/>
          <c:showPercent val="0"/>
          <c:showBubbleSize val="0"/>
        </c:dLbls>
        <c:marker val="1"/>
        <c:smooth val="0"/>
        <c:axId val="1787573167"/>
        <c:axId val="1787561647"/>
      </c:lineChart>
      <c:catAx>
        <c:axId val="178757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61647"/>
        <c:crosses val="autoZero"/>
        <c:auto val="1"/>
        <c:lblAlgn val="ctr"/>
        <c:lblOffset val="100"/>
        <c:noMultiLvlLbl val="0"/>
      </c:catAx>
      <c:valAx>
        <c:axId val="1787561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7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2000" b="0" i="0" u="none" strike="noStrike" kern="1200" spc="0" baseline="0">
                <a:solidFill>
                  <a:schemeClr val="accent6"/>
                </a:solidFill>
                <a:latin typeface="Arial Rounded MT Bold" panose="020F0704030504030204" pitchFamily="34" charset="0"/>
                <a:ea typeface="+mn-ea"/>
                <a:cs typeface="+mn-cs"/>
              </a:defRPr>
            </a:pPr>
            <a:r>
              <a:rPr lang="en-IN" sz="2000" b="0" i="0" u="none" strike="noStrike" kern="1200" spc="0" baseline="0">
                <a:solidFill>
                  <a:schemeClr val="accent6"/>
                </a:solidFill>
                <a:latin typeface="Arial Rounded MT Bold" panose="020F0704030504030204" pitchFamily="34" charset="0"/>
                <a:ea typeface="+mn-ea"/>
                <a:cs typeface="+mn-cs"/>
              </a:rPr>
              <a:t>Amount</a:t>
            </a:r>
          </a:p>
        </c:rich>
      </c:tx>
      <c:overlay val="0"/>
      <c:spPr>
        <a:noFill/>
        <a:ln>
          <a:noFill/>
        </a:ln>
        <a:effectLst/>
      </c:spPr>
      <c:txPr>
        <a:bodyPr rot="0" spcFirstLastPara="1" vertOverflow="ellipsis" vert="horz" wrap="square" anchor="ctr" anchorCtr="1"/>
        <a:lstStyle/>
        <a:p>
          <a:pPr algn="ctr" rtl="0">
            <a:defRPr lang="en-IN" sz="2000" b="0" i="0" u="none" strike="noStrike" kern="1200" spc="0" baseline="0">
              <a:solidFill>
                <a:schemeClr val="accent6"/>
              </a:solidFill>
              <a:latin typeface="Arial Rounded MT Bold" panose="020F0704030504030204" pitchFamily="34" charset="0"/>
              <a:ea typeface="+mn-ea"/>
              <a:cs typeface="+mn-cs"/>
            </a:defRPr>
          </a:pPr>
          <a:endParaRPr lang="en-US"/>
        </a:p>
      </c:txPr>
    </c:title>
    <c:autoTitleDeleted val="0"/>
    <c:plotArea>
      <c:layout>
        <c:manualLayout>
          <c:layoutTarget val="inner"/>
          <c:xMode val="edge"/>
          <c:yMode val="edge"/>
          <c:x val="0.17735444779439744"/>
          <c:y val="0.16708314544382394"/>
          <c:w val="0.87029396325459318"/>
          <c:h val="0.72088764946048411"/>
        </c:manualLayout>
      </c:layout>
      <c:barChart>
        <c:barDir val="bar"/>
        <c:grouping val="clustered"/>
        <c:varyColors val="0"/>
        <c:ser>
          <c:idx val="0"/>
          <c:order val="0"/>
          <c:spPr>
            <a:solidFill>
              <a:schemeClr val="bg1">
                <a:lumMod val="75000"/>
              </a:schemeClr>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8122-4DB4-BC7E-21D59411F154}"/>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8122-4DB4-BC7E-21D59411F154}"/>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5-8122-4DB4-BC7E-21D59411F154}"/>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7-8122-4DB4-BC7E-21D59411F154}"/>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9-8122-4DB4-BC7E-21D59411F15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616032595514878"/>
                      <c:h val="5.1796442111402732E-2"/>
                    </c:manualLayout>
                  </c15:layout>
                </c:ext>
                <c:ext xmlns:c16="http://schemas.microsoft.com/office/drawing/2014/chart" uri="{C3380CC4-5D6E-409C-BE32-E72D297353CC}">
                  <c16:uniqueId val="{00000001-8122-4DB4-BC7E-21D59411F1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A-8122-4DB4-BC7E-21D59411F154}"/>
            </c:ext>
          </c:extLst>
        </c:ser>
        <c:ser>
          <c:idx val="1"/>
          <c:order val="1"/>
          <c:tx>
            <c:strRef>
              <c:f>Pivots!$J$52</c:f>
              <c:strCache>
                <c:ptCount val="1"/>
                <c:pt idx="0">
                  <c:v>Sel.Amount</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C-8122-4DB4-BC7E-21D59411F154}"/>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E-8122-4DB4-BC7E-21D59411F154}"/>
              </c:ext>
            </c:extLst>
          </c:dPt>
          <c:val>
            <c:numRef>
              <c:f>Pivots!$J$54:$J$57</c:f>
              <c:numCache>
                <c:formatCode>General</c:formatCode>
                <c:ptCount val="4"/>
                <c:pt idx="0">
                  <c:v>20581</c:v>
                </c:pt>
                <c:pt idx="1">
                  <c:v>#N/A</c:v>
                </c:pt>
                <c:pt idx="2">
                  <c:v>#N/A</c:v>
                </c:pt>
                <c:pt idx="3">
                  <c:v>#N/A</c:v>
                </c:pt>
              </c:numCache>
            </c:numRef>
          </c:val>
          <c:extLst>
            <c:ext xmlns:c16="http://schemas.microsoft.com/office/drawing/2014/chart" uri="{C3380CC4-5D6E-409C-BE32-E72D297353CC}">
              <c16:uniqueId val="{0000000D-8122-4DB4-BC7E-21D59411F154}"/>
            </c:ext>
          </c:extLst>
        </c:ser>
        <c:dLbls>
          <c:showLegendKey val="0"/>
          <c:showVal val="0"/>
          <c:showCatName val="0"/>
          <c:showSerName val="0"/>
          <c:showPercent val="0"/>
          <c:showBubbleSize val="0"/>
        </c:dLbls>
        <c:gapWidth val="25"/>
        <c:overlap val="100"/>
        <c:axId val="2115766879"/>
        <c:axId val="2115767839"/>
      </c:barChart>
      <c:catAx>
        <c:axId val="21157668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767839"/>
        <c:crosses val="autoZero"/>
        <c:auto val="1"/>
        <c:lblAlgn val="ctr"/>
        <c:lblOffset val="100"/>
        <c:noMultiLvlLbl val="0"/>
      </c:catAx>
      <c:valAx>
        <c:axId val="2115767839"/>
        <c:scaling>
          <c:orientation val="minMax"/>
          <c:min val="0"/>
        </c:scaling>
        <c:delete val="1"/>
        <c:axPos val="t"/>
        <c:numFmt formatCode="&quot;₹&quot;\ #,###.0,&quot;k&quot;" sourceLinked="1"/>
        <c:majorTickMark val="none"/>
        <c:minorTickMark val="none"/>
        <c:tickLblPos val="nextTo"/>
        <c:crossAx val="211576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a:solidFill>
                  <a:schemeClr val="accent6"/>
                </a:solidFill>
                <a:latin typeface="Arial Rounded MT Bold" panose="020F0704030504030204" pitchFamily="34" charset="0"/>
              </a:rPr>
              <a:t>Calls</a:t>
            </a:r>
          </a:p>
        </c:rich>
      </c:tx>
      <c:layout>
        <c:manualLayout>
          <c:xMode val="edge"/>
          <c:yMode val="edge"/>
          <c:x val="0.34820531251021009"/>
          <c:y val="2.259887005649717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039370078740164E-2"/>
          <c:y val="0.16708333333333336"/>
          <c:w val="0.87029396325459318"/>
          <c:h val="0.72088764946048411"/>
        </c:manualLayout>
      </c:layout>
      <c:barChart>
        <c:barDir val="bar"/>
        <c:grouping val="clustered"/>
        <c:varyColors val="0"/>
        <c:ser>
          <c:idx val="1"/>
          <c:order val="0"/>
          <c:tx>
            <c:strRef>
              <c:f>Pivots!$G$52</c:f>
              <c:strCache>
                <c:ptCount val="1"/>
                <c:pt idx="0">
                  <c:v>Calls</c:v>
                </c:pt>
              </c:strCache>
            </c:strRef>
          </c:tx>
          <c:spPr>
            <a:solidFill>
              <a:schemeClr val="accent2"/>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1-BA65-4893-9309-AC1B05E4C181}"/>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3-BA65-4893-9309-AC1B05E4C181}"/>
              </c:ext>
            </c:extLst>
          </c:dPt>
          <c:dPt>
            <c:idx val="2"/>
            <c:invertIfNegative val="0"/>
            <c:bubble3D val="0"/>
            <c:spPr>
              <a:solidFill>
                <a:schemeClr val="bg1">
                  <a:lumMod val="95000"/>
                </a:schemeClr>
              </a:solidFill>
              <a:ln>
                <a:noFill/>
              </a:ln>
              <a:effectLst/>
            </c:spPr>
            <c:extLst>
              <c:ext xmlns:c16="http://schemas.microsoft.com/office/drawing/2014/chart" uri="{C3380CC4-5D6E-409C-BE32-E72D297353CC}">
                <c16:uniqueId val="{00000005-BA65-4893-9309-AC1B05E4C181}"/>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7-BA65-4893-9309-AC1B05E4C181}"/>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9-BA65-4893-9309-AC1B05E4C181}"/>
              </c:ext>
            </c:extLst>
          </c:dPt>
          <c:dLbls>
            <c:dLbl>
              <c:idx val="0"/>
              <c:layout>
                <c:manualLayout>
                  <c:x val="9.7046413502109699E-2"/>
                  <c:y val="-3.584229390681003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5-4893-9309-AC1B05E4C1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Pivots!$G$53:$G$57</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A-BA65-4893-9309-AC1B05E4C181}"/>
            </c:ext>
          </c:extLst>
        </c:ser>
        <c:ser>
          <c:idx val="0"/>
          <c:order val="1"/>
          <c:tx>
            <c:strRef>
              <c:f>Pivots!$I$52</c:f>
              <c:strCache>
                <c:ptCount val="1"/>
                <c:pt idx="0">
                  <c:v>Sel.Calls</c:v>
                </c:pt>
              </c:strCache>
            </c:strRef>
          </c:tx>
          <c:spPr>
            <a:solidFill>
              <a:schemeClr val="accent5"/>
            </a:solidFill>
            <a:ln>
              <a:noFill/>
            </a:ln>
            <a:effectLst/>
          </c:spPr>
          <c:invertIfNegative val="0"/>
          <c:val>
            <c:numRef>
              <c:f>Pivots!$I$54:$I$57</c:f>
              <c:numCache>
                <c:formatCode>General</c:formatCode>
                <c:ptCount val="4"/>
                <c:pt idx="0">
                  <c:v>218</c:v>
                </c:pt>
                <c:pt idx="1">
                  <c:v>#N/A</c:v>
                </c:pt>
                <c:pt idx="2">
                  <c:v>#N/A</c:v>
                </c:pt>
                <c:pt idx="3">
                  <c:v>#N/A</c:v>
                </c:pt>
              </c:numCache>
            </c:numRef>
          </c:val>
          <c:extLst>
            <c:ext xmlns:c16="http://schemas.microsoft.com/office/drawing/2014/chart" uri="{C3380CC4-5D6E-409C-BE32-E72D297353CC}">
              <c16:uniqueId val="{0000000B-BA65-4893-9309-AC1B05E4C181}"/>
            </c:ext>
          </c:extLst>
        </c:ser>
        <c:dLbls>
          <c:showLegendKey val="0"/>
          <c:showVal val="0"/>
          <c:showCatName val="0"/>
          <c:showSerName val="0"/>
          <c:showPercent val="0"/>
          <c:showBubbleSize val="0"/>
        </c:dLbls>
        <c:gapWidth val="22"/>
        <c:overlap val="100"/>
        <c:axId val="2115766879"/>
        <c:axId val="2115767839"/>
      </c:barChart>
      <c:catAx>
        <c:axId val="21157668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767839"/>
        <c:crosses val="autoZero"/>
        <c:auto val="1"/>
        <c:lblAlgn val="ctr"/>
        <c:lblOffset val="100"/>
        <c:noMultiLvlLbl val="0"/>
      </c:catAx>
      <c:valAx>
        <c:axId val="2115767839"/>
        <c:scaling>
          <c:orientation val="minMax"/>
          <c:min val="0"/>
        </c:scaling>
        <c:delete val="1"/>
        <c:axPos val="t"/>
        <c:numFmt formatCode="#,##0" sourceLinked="1"/>
        <c:majorTickMark val="none"/>
        <c:minorTickMark val="none"/>
        <c:tickLblPos val="nextTo"/>
        <c:crossAx val="211576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chemeClr val="accent6"/>
                </a:solidFill>
                <a:latin typeface="Arial Rounded MT Bold" panose="020F0704030504030204" pitchFamily="34" charset="0"/>
              </a:rPr>
              <a:t>Female</a:t>
            </a:r>
            <a:r>
              <a:rPr lang="en-IN" sz="1400" baseline="0"/>
              <a:t> </a:t>
            </a:r>
            <a:r>
              <a:rPr lang="en-IN" sz="1400" baseline="0">
                <a:solidFill>
                  <a:schemeClr val="accent6"/>
                </a:solidFill>
              </a:rPr>
              <a:t>VS </a:t>
            </a:r>
            <a:r>
              <a:rPr lang="en-IN" sz="1400" baseline="0">
                <a:solidFill>
                  <a:schemeClr val="accent4"/>
                </a:solidFill>
                <a:latin typeface="Arial Rounded MT Bold" panose="020F0704030504030204" pitchFamily="34" charset="0"/>
              </a:rPr>
              <a:t>Male</a:t>
            </a:r>
            <a:r>
              <a:rPr lang="en-IN" sz="1400" baseline="0"/>
              <a:t> </a:t>
            </a:r>
            <a:r>
              <a:rPr lang="en-IN" sz="1400" baseline="0">
                <a:solidFill>
                  <a:schemeClr val="accent4"/>
                </a:solidFill>
                <a:latin typeface="Arial Rounded MT Bold" panose="020F0704030504030204" pitchFamily="34" charset="0"/>
              </a:rPr>
              <a:t>Callers</a:t>
            </a:r>
            <a:endParaRPr lang="en-IN" sz="1400">
              <a:solidFill>
                <a:schemeClr val="accent4"/>
              </a:solidFill>
              <a:latin typeface="Arial Rounded MT Bold" panose="020F0704030504030204" pitchFamily="34" charset="0"/>
            </a:endParaRPr>
          </a:p>
        </c:rich>
      </c:tx>
      <c:layout>
        <c:manualLayout>
          <c:xMode val="edge"/>
          <c:yMode val="edge"/>
          <c:x val="0.14801166403816796"/>
          <c:y val="3.49999862204778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AD0D-472A-8529-430D6BF3F9E7}"/>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AD0D-472A-8529-430D6BF3F9E7}"/>
            </c:ext>
          </c:extLst>
        </c:ser>
        <c:dLbls>
          <c:showLegendKey val="0"/>
          <c:showVal val="0"/>
          <c:showCatName val="0"/>
          <c:showSerName val="0"/>
          <c:showPercent val="0"/>
          <c:showBubbleSize val="0"/>
        </c:dLbls>
        <c:gapWidth val="25"/>
        <c:overlap val="100"/>
        <c:axId val="2114540335"/>
        <c:axId val="2114538895"/>
      </c:barChart>
      <c:catAx>
        <c:axId val="211454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38895"/>
        <c:crosses val="autoZero"/>
        <c:auto val="1"/>
        <c:lblAlgn val="ctr"/>
        <c:lblOffset val="100"/>
        <c:noMultiLvlLbl val="0"/>
      </c:catAx>
      <c:valAx>
        <c:axId val="2114538895"/>
        <c:scaling>
          <c:orientation val="minMax"/>
        </c:scaling>
        <c:delete val="1"/>
        <c:axPos val="l"/>
        <c:numFmt formatCode="0%" sourceLinked="1"/>
        <c:majorTickMark val="none"/>
        <c:minorTickMark val="none"/>
        <c:tickLblPos val="nextTo"/>
        <c:crossAx val="211454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satisfaction</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bg2">
                    <a:lumMod val="50000"/>
                  </a:schemeClr>
                </a:solidFill>
                <a:latin typeface="Arial Rounded MT Bold" panose="020F0704030504030204" pitchFamily="34" charset="0"/>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1</c:v>
                </c:pt>
                <c:pt idx="1">
                  <c:v>2</c:v>
                </c:pt>
                <c:pt idx="2">
                  <c:v>3</c:v>
                </c:pt>
                <c:pt idx="3">
                  <c:v>4</c:v>
                </c:pt>
                <c:pt idx="4">
                  <c:v>5</c:v>
                </c:pt>
              </c:strCache>
            </c:strRef>
          </c:cat>
          <c:val>
            <c:numRef>
              <c:f>Pivots!$B$90:$B$95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6E49-4135-96F6-7DB1E0043F56}"/>
            </c:ext>
          </c:extLst>
        </c:ser>
        <c:dLbls>
          <c:showLegendKey val="0"/>
          <c:showVal val="0"/>
          <c:showCatName val="0"/>
          <c:showSerName val="0"/>
          <c:showPercent val="0"/>
          <c:showBubbleSize val="0"/>
        </c:dLbls>
        <c:gapWidth val="10"/>
        <c:overlap val="-27"/>
        <c:axId val="381925583"/>
        <c:axId val="381935183"/>
      </c:barChart>
      <c:catAx>
        <c:axId val="38192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35183"/>
        <c:crosses val="autoZero"/>
        <c:auto val="1"/>
        <c:lblAlgn val="ctr"/>
        <c:lblOffset val="100"/>
        <c:noMultiLvlLbl val="0"/>
      </c:catAx>
      <c:valAx>
        <c:axId val="381935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2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7505</xdr:colOff>
      <xdr:row>1</xdr:row>
      <xdr:rowOff>110836</xdr:rowOff>
    </xdr:from>
    <xdr:to>
      <xdr:col>4</xdr:col>
      <xdr:colOff>404091</xdr:colOff>
      <xdr:row>7</xdr:row>
      <xdr:rowOff>115453</xdr:rowOff>
    </xdr:to>
    <xdr:sp macro="" textlink="Pivots!A4">
      <xdr:nvSpPr>
        <xdr:cNvPr id="2" name="Rectangle 1">
          <a:extLst>
            <a:ext uri="{FF2B5EF4-FFF2-40B4-BE49-F238E27FC236}">
              <a16:creationId xmlns:a16="http://schemas.microsoft.com/office/drawing/2014/main" id="{E9C70F67-E6AA-A376-57DB-2DD5D55822AF}"/>
            </a:ext>
          </a:extLst>
        </xdr:cNvPr>
        <xdr:cNvSpPr/>
      </xdr:nvSpPr>
      <xdr:spPr>
        <a:xfrm>
          <a:off x="388505" y="295563"/>
          <a:ext cx="1620404" cy="1112981"/>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8369A9-7339-439E-A104-1F6E8833C726}" type="TxLink">
            <a:rPr lang="en-US" sz="2400" b="0" i="0" u="none" strike="noStrike">
              <a:solidFill>
                <a:schemeClr val="bg1"/>
              </a:solidFill>
              <a:latin typeface="Arial Rounded MT Bold" panose="020F0704030504030204" pitchFamily="34" charset="0"/>
              <a:ea typeface="Calibri"/>
              <a:cs typeface="Calibri"/>
            </a:rPr>
            <a:pPr algn="ctr"/>
            <a:t>1,000</a:t>
          </a:fld>
          <a:endParaRPr lang="en-US" sz="2400">
            <a:solidFill>
              <a:schemeClr val="bg1"/>
            </a:solidFill>
            <a:latin typeface="Arial Rounded MT Bold" panose="020F0704030504030204" pitchFamily="34" charset="0"/>
          </a:endParaRPr>
        </a:p>
      </xdr:txBody>
    </xdr:sp>
    <xdr:clientData/>
  </xdr:twoCellAnchor>
  <xdr:twoCellAnchor>
    <xdr:from>
      <xdr:col>2</xdr:col>
      <xdr:colOff>305954</xdr:colOff>
      <xdr:row>2</xdr:row>
      <xdr:rowOff>57727</xdr:rowOff>
    </xdr:from>
    <xdr:to>
      <xdr:col>4</xdr:col>
      <xdr:colOff>159904</xdr:colOff>
      <xdr:row>4</xdr:row>
      <xdr:rowOff>58882</xdr:rowOff>
    </xdr:to>
    <xdr:sp macro="" textlink="">
      <xdr:nvSpPr>
        <xdr:cNvPr id="3" name="TextBox 2">
          <a:extLst>
            <a:ext uri="{FF2B5EF4-FFF2-40B4-BE49-F238E27FC236}">
              <a16:creationId xmlns:a16="http://schemas.microsoft.com/office/drawing/2014/main" id="{3A803EBB-4619-5C83-2CBC-E0872D05ACE3}"/>
            </a:ext>
          </a:extLst>
        </xdr:cNvPr>
        <xdr:cNvSpPr txBox="1"/>
      </xdr:nvSpPr>
      <xdr:spPr>
        <a:xfrm>
          <a:off x="686954" y="427182"/>
          <a:ext cx="1077768" cy="37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Arial Rounded MT Bold" panose="020F0704030504030204" pitchFamily="34" charset="0"/>
            </a:rPr>
            <a:t>Calls</a:t>
          </a:r>
        </a:p>
      </xdr:txBody>
    </xdr:sp>
    <xdr:clientData/>
  </xdr:twoCellAnchor>
  <xdr:twoCellAnchor editAs="oneCell">
    <xdr:from>
      <xdr:col>2</xdr:col>
      <xdr:colOff>69104</xdr:colOff>
      <xdr:row>2</xdr:row>
      <xdr:rowOff>3928</xdr:rowOff>
    </xdr:from>
    <xdr:to>
      <xdr:col>2</xdr:col>
      <xdr:colOff>334961</xdr:colOff>
      <xdr:row>3</xdr:row>
      <xdr:rowOff>70454</xdr:rowOff>
    </xdr:to>
    <xdr:pic>
      <xdr:nvPicPr>
        <xdr:cNvPr id="6" name="Graphic 5" descr="Receiver with solid fill">
          <a:extLst>
            <a:ext uri="{FF2B5EF4-FFF2-40B4-BE49-F238E27FC236}">
              <a16:creationId xmlns:a16="http://schemas.microsoft.com/office/drawing/2014/main" id="{984F2113-7F20-4779-A62D-6B816EEBB8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0104" y="373383"/>
          <a:ext cx="265857" cy="251253"/>
        </a:xfrm>
        <a:prstGeom prst="rect">
          <a:avLst/>
        </a:prstGeom>
      </xdr:spPr>
    </xdr:pic>
    <xdr:clientData/>
  </xdr:twoCellAnchor>
  <xdr:twoCellAnchor>
    <xdr:from>
      <xdr:col>2</xdr:col>
      <xdr:colOff>408709</xdr:colOff>
      <xdr:row>5</xdr:row>
      <xdr:rowOff>127001</xdr:rowOff>
    </xdr:from>
    <xdr:to>
      <xdr:col>3</xdr:col>
      <xdr:colOff>510309</xdr:colOff>
      <xdr:row>7</xdr:row>
      <xdr:rowOff>34636</xdr:rowOff>
    </xdr:to>
    <xdr:sp macro="" textlink="Pivots!A10">
      <xdr:nvSpPr>
        <xdr:cNvPr id="7" name="TextBox 6">
          <a:extLst>
            <a:ext uri="{FF2B5EF4-FFF2-40B4-BE49-F238E27FC236}">
              <a16:creationId xmlns:a16="http://schemas.microsoft.com/office/drawing/2014/main" id="{E187DBBE-2164-96A2-177A-D445CADE3CF1}"/>
            </a:ext>
          </a:extLst>
        </xdr:cNvPr>
        <xdr:cNvSpPr txBox="1"/>
      </xdr:nvSpPr>
      <xdr:spPr>
        <a:xfrm rot="10800000" flipV="1">
          <a:off x="789709" y="1050637"/>
          <a:ext cx="713509" cy="277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749C85-608A-4561-AF56-810FEDF00C40}" type="TxLink">
            <a:rPr lang="en-US" sz="1100" b="0" i="0" u="none" strike="noStrike">
              <a:solidFill>
                <a:schemeClr val="accent6">
                  <a:lumMod val="20000"/>
                  <a:lumOff val="80000"/>
                </a:schemeClr>
              </a:solidFill>
              <a:latin typeface="Arial Rounded MT Bold" panose="020F0704030504030204" pitchFamily="34" charset="0"/>
              <a:ea typeface="Calibri"/>
              <a:cs typeface="Calibri"/>
            </a:rPr>
            <a:pPr algn="ctr"/>
            <a:t>218</a:t>
          </a:fld>
          <a:endParaRPr lang="en-IN" sz="1100">
            <a:solidFill>
              <a:schemeClr val="accent6">
                <a:lumMod val="20000"/>
                <a:lumOff val="80000"/>
              </a:schemeClr>
            </a:solidFill>
            <a:latin typeface="Arial Rounded MT Bold" panose="020F0704030504030204" pitchFamily="34" charset="0"/>
          </a:endParaRPr>
        </a:p>
      </xdr:txBody>
    </xdr:sp>
    <xdr:clientData/>
  </xdr:twoCellAnchor>
  <xdr:twoCellAnchor>
    <xdr:from>
      <xdr:col>1</xdr:col>
      <xdr:colOff>207817</xdr:colOff>
      <xdr:row>8</xdr:row>
      <xdr:rowOff>173182</xdr:rowOff>
    </xdr:from>
    <xdr:to>
      <xdr:col>4</xdr:col>
      <xdr:colOff>415636</xdr:colOff>
      <xdr:row>15</xdr:row>
      <xdr:rowOff>11546</xdr:rowOff>
    </xdr:to>
    <xdr:sp macro="" textlink="Pivots!B4">
      <xdr:nvSpPr>
        <xdr:cNvPr id="8" name="Rectangle 7">
          <a:extLst>
            <a:ext uri="{FF2B5EF4-FFF2-40B4-BE49-F238E27FC236}">
              <a16:creationId xmlns:a16="http://schemas.microsoft.com/office/drawing/2014/main" id="{5C8E3268-7C7C-4286-A849-0918A4F2FC8A}"/>
            </a:ext>
          </a:extLst>
        </xdr:cNvPr>
        <xdr:cNvSpPr/>
      </xdr:nvSpPr>
      <xdr:spPr>
        <a:xfrm>
          <a:off x="380999" y="1651000"/>
          <a:ext cx="1766455" cy="1131455"/>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5901EB3-25F7-4473-84D1-7E1AD132076A}" type="TxLink">
            <a:rPr lang="en-US" sz="2400" b="0" i="0" u="none" strike="noStrike">
              <a:solidFill>
                <a:schemeClr val="bg1"/>
              </a:solidFill>
              <a:latin typeface="Arial Rounded MT Bold" panose="020F0704030504030204" pitchFamily="34" charset="0"/>
              <a:ea typeface="Calibri"/>
              <a:cs typeface="Calibri"/>
            </a:rPr>
            <a:pPr marL="0" indent="0" algn="ctr"/>
            <a:t>₹ 96,623</a:t>
          </a:fld>
          <a:endParaRPr lang="en-US" sz="2400" b="0"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2</xdr:col>
      <xdr:colOff>305378</xdr:colOff>
      <xdr:row>9</xdr:row>
      <xdr:rowOff>78509</xdr:rowOff>
    </xdr:from>
    <xdr:to>
      <xdr:col>4</xdr:col>
      <xdr:colOff>159328</xdr:colOff>
      <xdr:row>10</xdr:row>
      <xdr:rowOff>97558</xdr:rowOff>
    </xdr:to>
    <xdr:sp macro="" textlink="">
      <xdr:nvSpPr>
        <xdr:cNvPr id="9" name="TextBox 8">
          <a:extLst>
            <a:ext uri="{FF2B5EF4-FFF2-40B4-BE49-F238E27FC236}">
              <a16:creationId xmlns:a16="http://schemas.microsoft.com/office/drawing/2014/main" id="{2E2B3622-3AEB-44CC-9E86-E845BF38FE51}"/>
            </a:ext>
          </a:extLst>
        </xdr:cNvPr>
        <xdr:cNvSpPr txBox="1"/>
      </xdr:nvSpPr>
      <xdr:spPr>
        <a:xfrm>
          <a:off x="686378" y="1741054"/>
          <a:ext cx="1077768" cy="203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Arial Rounded MT Bold" panose="020F0704030504030204" pitchFamily="34" charset="0"/>
            </a:rPr>
            <a:t>Amount</a:t>
          </a:r>
        </a:p>
      </xdr:txBody>
    </xdr:sp>
    <xdr:clientData/>
  </xdr:twoCellAnchor>
  <xdr:twoCellAnchor editAs="oneCell">
    <xdr:from>
      <xdr:col>2</xdr:col>
      <xdr:colOff>20410</xdr:colOff>
      <xdr:row>9</xdr:row>
      <xdr:rowOff>20093</xdr:rowOff>
    </xdr:from>
    <xdr:to>
      <xdr:col>2</xdr:col>
      <xdr:colOff>271663</xdr:colOff>
      <xdr:row>10</xdr:row>
      <xdr:rowOff>86618</xdr:rowOff>
    </xdr:to>
    <xdr:pic>
      <xdr:nvPicPr>
        <xdr:cNvPr id="10" name="Graphic 9">
          <a:extLst>
            <a:ext uri="{FF2B5EF4-FFF2-40B4-BE49-F238E27FC236}">
              <a16:creationId xmlns:a16="http://schemas.microsoft.com/office/drawing/2014/main" id="{50723096-C966-494C-9AE8-82A9A2703E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01410" y="1682638"/>
          <a:ext cx="251253" cy="251253"/>
        </a:xfrm>
        <a:prstGeom prst="rect">
          <a:avLst/>
        </a:prstGeom>
      </xdr:spPr>
    </xdr:pic>
    <xdr:clientData/>
  </xdr:twoCellAnchor>
  <xdr:twoCellAnchor>
    <xdr:from>
      <xdr:col>2</xdr:col>
      <xdr:colOff>350405</xdr:colOff>
      <xdr:row>12</xdr:row>
      <xdr:rowOff>173182</xdr:rowOff>
    </xdr:from>
    <xdr:to>
      <xdr:col>3</xdr:col>
      <xdr:colOff>600365</xdr:colOff>
      <xdr:row>14</xdr:row>
      <xdr:rowOff>46182</xdr:rowOff>
    </xdr:to>
    <xdr:sp macro="" textlink="Pivots!B10">
      <xdr:nvSpPr>
        <xdr:cNvPr id="11" name="TextBox 10">
          <a:extLst>
            <a:ext uri="{FF2B5EF4-FFF2-40B4-BE49-F238E27FC236}">
              <a16:creationId xmlns:a16="http://schemas.microsoft.com/office/drawing/2014/main" id="{BAFC9D62-7833-4DEE-BBF8-A68D76F37B18}"/>
            </a:ext>
          </a:extLst>
        </xdr:cNvPr>
        <xdr:cNvSpPr txBox="1"/>
      </xdr:nvSpPr>
      <xdr:spPr>
        <a:xfrm>
          <a:off x="731405" y="2389909"/>
          <a:ext cx="861869"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703C1D-47A6-4A15-BA49-F39761714068}" type="TxLink">
            <a:rPr lang="en-US" sz="1100" b="0" i="0" u="none" strike="noStrike">
              <a:solidFill>
                <a:schemeClr val="accent6">
                  <a:lumMod val="20000"/>
                  <a:lumOff val="80000"/>
                </a:schemeClr>
              </a:solidFill>
              <a:latin typeface="Arial Rounded MT Bold" panose="020F0704030504030204" pitchFamily="34" charset="0"/>
              <a:ea typeface="Calibri"/>
              <a:cs typeface="Calibri"/>
            </a:rPr>
            <a:pPr marL="0" indent="0" algn="ctr"/>
            <a:t>₹ 20,581</a:t>
          </a:fld>
          <a:endParaRPr lang="en-IN" sz="1100" b="0" i="0" u="none" strike="noStrike">
            <a:solidFill>
              <a:schemeClr val="accent6">
                <a:lumMod val="20000"/>
                <a:lumOff val="80000"/>
              </a:schemeClr>
            </a:solidFill>
            <a:latin typeface="Arial Rounded MT Bold" panose="020F0704030504030204" pitchFamily="34" charset="0"/>
            <a:ea typeface="Calibri"/>
            <a:cs typeface="Calibri"/>
          </a:endParaRPr>
        </a:p>
      </xdr:txBody>
    </xdr:sp>
    <xdr:clientData/>
  </xdr:twoCellAnchor>
  <xdr:twoCellAnchor>
    <xdr:from>
      <xdr:col>1</xdr:col>
      <xdr:colOff>207817</xdr:colOff>
      <xdr:row>16</xdr:row>
      <xdr:rowOff>92364</xdr:rowOff>
    </xdr:from>
    <xdr:to>
      <xdr:col>4</xdr:col>
      <xdr:colOff>450273</xdr:colOff>
      <xdr:row>22</xdr:row>
      <xdr:rowOff>150091</xdr:rowOff>
    </xdr:to>
    <xdr:sp macro="" textlink="Pivots!C4">
      <xdr:nvSpPr>
        <xdr:cNvPr id="12" name="Rectangle 11">
          <a:extLst>
            <a:ext uri="{FF2B5EF4-FFF2-40B4-BE49-F238E27FC236}">
              <a16:creationId xmlns:a16="http://schemas.microsoft.com/office/drawing/2014/main" id="{895D9229-E721-487A-91C7-76E4AE7CC16C}"/>
            </a:ext>
          </a:extLst>
        </xdr:cNvPr>
        <xdr:cNvSpPr/>
      </xdr:nvSpPr>
      <xdr:spPr>
        <a:xfrm>
          <a:off x="380999" y="3048000"/>
          <a:ext cx="1801092" cy="1166091"/>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342D0E2-6338-475C-BB90-413402077F04}" type="TxLink">
            <a:rPr lang="en-US" sz="2400" b="0" i="0" u="none" strike="noStrike">
              <a:solidFill>
                <a:schemeClr val="bg1"/>
              </a:solidFill>
              <a:latin typeface="Arial Rounded MT Bold" panose="020F0704030504030204" pitchFamily="34" charset="0"/>
              <a:ea typeface="Calibri"/>
              <a:cs typeface="Calibri"/>
            </a:rPr>
            <a:pPr marL="0" indent="0" algn="ctr"/>
            <a:t>89,850</a:t>
          </a:fld>
          <a:endParaRPr lang="en-US" sz="2400" b="0"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2</xdr:col>
      <xdr:colOff>305378</xdr:colOff>
      <xdr:row>17</xdr:row>
      <xdr:rowOff>103909</xdr:rowOff>
    </xdr:from>
    <xdr:to>
      <xdr:col>4</xdr:col>
      <xdr:colOff>159328</xdr:colOff>
      <xdr:row>18</xdr:row>
      <xdr:rowOff>138545</xdr:rowOff>
    </xdr:to>
    <xdr:sp macro="" textlink="">
      <xdr:nvSpPr>
        <xdr:cNvPr id="13" name="TextBox 12">
          <a:extLst>
            <a:ext uri="{FF2B5EF4-FFF2-40B4-BE49-F238E27FC236}">
              <a16:creationId xmlns:a16="http://schemas.microsoft.com/office/drawing/2014/main" id="{4477FDF7-47AC-4A34-B31F-ADF7AA1C4998}"/>
            </a:ext>
          </a:extLst>
        </xdr:cNvPr>
        <xdr:cNvSpPr txBox="1"/>
      </xdr:nvSpPr>
      <xdr:spPr>
        <a:xfrm>
          <a:off x="686378" y="3244273"/>
          <a:ext cx="1204768" cy="219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chemeClr val="bg1">
                  <a:lumMod val="95000"/>
                </a:schemeClr>
              </a:solidFill>
              <a:latin typeface="Arial Rounded MT Bold" panose="020F0704030504030204" pitchFamily="34" charset="0"/>
            </a:rPr>
            <a:t>Duration</a:t>
          </a:r>
          <a:endParaRPr lang="en-IN" sz="1100">
            <a:solidFill>
              <a:schemeClr val="bg1">
                <a:lumMod val="95000"/>
              </a:schemeClr>
            </a:solidFill>
            <a:latin typeface="Arial Rounded MT Bold" panose="020F0704030504030204" pitchFamily="34" charset="0"/>
          </a:endParaRPr>
        </a:p>
      </xdr:txBody>
    </xdr:sp>
    <xdr:clientData/>
  </xdr:twoCellAnchor>
  <xdr:twoCellAnchor editAs="oneCell">
    <xdr:from>
      <xdr:col>2</xdr:col>
      <xdr:colOff>8865</xdr:colOff>
      <xdr:row>17</xdr:row>
      <xdr:rowOff>20092</xdr:rowOff>
    </xdr:from>
    <xdr:to>
      <xdr:col>2</xdr:col>
      <xdr:colOff>260118</xdr:colOff>
      <xdr:row>18</xdr:row>
      <xdr:rowOff>86618</xdr:rowOff>
    </xdr:to>
    <xdr:pic>
      <xdr:nvPicPr>
        <xdr:cNvPr id="14" name="Graphic 13">
          <a:extLst>
            <a:ext uri="{FF2B5EF4-FFF2-40B4-BE49-F238E27FC236}">
              <a16:creationId xmlns:a16="http://schemas.microsoft.com/office/drawing/2014/main" id="{DD2BE00A-F9CC-4476-B8B7-D7CA76F805B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89865" y="3160456"/>
          <a:ext cx="251253" cy="251253"/>
        </a:xfrm>
        <a:prstGeom prst="rect">
          <a:avLst/>
        </a:prstGeom>
      </xdr:spPr>
    </xdr:pic>
    <xdr:clientData/>
  </xdr:twoCellAnchor>
  <xdr:twoCellAnchor>
    <xdr:from>
      <xdr:col>2</xdr:col>
      <xdr:colOff>373496</xdr:colOff>
      <xdr:row>20</xdr:row>
      <xdr:rowOff>150091</xdr:rowOff>
    </xdr:from>
    <xdr:to>
      <xdr:col>3</xdr:col>
      <xdr:colOff>565727</xdr:colOff>
      <xdr:row>22</xdr:row>
      <xdr:rowOff>0</xdr:rowOff>
    </xdr:to>
    <xdr:sp macro="" textlink="Pivots!C10">
      <xdr:nvSpPr>
        <xdr:cNvPr id="15" name="TextBox 14">
          <a:extLst>
            <a:ext uri="{FF2B5EF4-FFF2-40B4-BE49-F238E27FC236}">
              <a16:creationId xmlns:a16="http://schemas.microsoft.com/office/drawing/2014/main" id="{2FCAD803-12CB-445D-A10C-22666D23529D}"/>
            </a:ext>
          </a:extLst>
        </xdr:cNvPr>
        <xdr:cNvSpPr txBox="1"/>
      </xdr:nvSpPr>
      <xdr:spPr>
        <a:xfrm>
          <a:off x="754496" y="3844636"/>
          <a:ext cx="931140" cy="21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C3D2F8-6CE7-4EDF-A78E-B522E8F9530D}" type="TxLink">
            <a:rPr lang="en-US" sz="1100" b="0" i="0" u="none" strike="noStrike">
              <a:solidFill>
                <a:schemeClr val="accent6">
                  <a:lumMod val="20000"/>
                  <a:lumOff val="80000"/>
                </a:schemeClr>
              </a:solidFill>
              <a:latin typeface="Arial Rounded MT Bold" panose="020F0704030504030204" pitchFamily="34" charset="0"/>
              <a:ea typeface="Calibri"/>
              <a:cs typeface="Calibri"/>
            </a:rPr>
            <a:pPr marL="0" indent="0" algn="ctr"/>
            <a:t>19,300</a:t>
          </a:fld>
          <a:endParaRPr lang="en-IN" sz="1100" b="0" i="0" u="none" strike="noStrike">
            <a:solidFill>
              <a:schemeClr val="accent6">
                <a:lumMod val="20000"/>
                <a:lumOff val="80000"/>
              </a:schemeClr>
            </a:solidFill>
            <a:latin typeface="Arial Rounded MT Bold" panose="020F0704030504030204" pitchFamily="34" charset="0"/>
            <a:ea typeface="Calibri"/>
            <a:cs typeface="Calibri"/>
          </a:endParaRPr>
        </a:p>
      </xdr:txBody>
    </xdr:sp>
    <xdr:clientData/>
  </xdr:twoCellAnchor>
  <xdr:twoCellAnchor>
    <xdr:from>
      <xdr:col>1</xdr:col>
      <xdr:colOff>196274</xdr:colOff>
      <xdr:row>24</xdr:row>
      <xdr:rowOff>173180</xdr:rowOff>
    </xdr:from>
    <xdr:to>
      <xdr:col>4</xdr:col>
      <xdr:colOff>542638</xdr:colOff>
      <xdr:row>30</xdr:row>
      <xdr:rowOff>173182</xdr:rowOff>
    </xdr:to>
    <xdr:sp macro="" textlink="Pivots!D4">
      <xdr:nvSpPr>
        <xdr:cNvPr id="16" name="Rectangle 15">
          <a:extLst>
            <a:ext uri="{FF2B5EF4-FFF2-40B4-BE49-F238E27FC236}">
              <a16:creationId xmlns:a16="http://schemas.microsoft.com/office/drawing/2014/main" id="{2EE4C055-37DA-43E2-8E40-91B64768D001}"/>
            </a:ext>
          </a:extLst>
        </xdr:cNvPr>
        <xdr:cNvSpPr/>
      </xdr:nvSpPr>
      <xdr:spPr>
        <a:xfrm>
          <a:off x="369456" y="4606635"/>
          <a:ext cx="1905000" cy="1108365"/>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9889274-8D2B-437D-ADDC-B6884DCCF4E3}" type="TxLink">
            <a:rPr lang="en-US" sz="2400" b="0" i="0" u="none" strike="noStrike">
              <a:solidFill>
                <a:schemeClr val="bg1"/>
              </a:solidFill>
              <a:latin typeface="Arial Rounded MT Bold" panose="020F0704030504030204" pitchFamily="34" charset="0"/>
              <a:ea typeface="Calibri"/>
              <a:cs typeface="Calibri"/>
            </a:rPr>
            <a:pPr marL="0" indent="0" algn="ctr"/>
            <a:t>3.9</a:t>
          </a:fld>
          <a:endParaRPr lang="en-US" sz="2400" b="0"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2</xdr:col>
      <xdr:colOff>247650</xdr:colOff>
      <xdr:row>25</xdr:row>
      <xdr:rowOff>69273</xdr:rowOff>
    </xdr:from>
    <xdr:to>
      <xdr:col>4</xdr:col>
      <xdr:colOff>254000</xdr:colOff>
      <xdr:row>26</xdr:row>
      <xdr:rowOff>150091</xdr:rowOff>
    </xdr:to>
    <xdr:sp macro="" textlink="">
      <xdr:nvSpPr>
        <xdr:cNvPr id="17" name="TextBox 16">
          <a:extLst>
            <a:ext uri="{FF2B5EF4-FFF2-40B4-BE49-F238E27FC236}">
              <a16:creationId xmlns:a16="http://schemas.microsoft.com/office/drawing/2014/main" id="{81EC725F-3A96-4936-878A-C433CFB89909}"/>
            </a:ext>
          </a:extLst>
        </xdr:cNvPr>
        <xdr:cNvSpPr txBox="1"/>
      </xdr:nvSpPr>
      <xdr:spPr>
        <a:xfrm>
          <a:off x="628650" y="4687455"/>
          <a:ext cx="1357168" cy="265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Arial Rounded MT Bold" panose="020F0704030504030204" pitchFamily="34" charset="0"/>
            </a:rPr>
            <a:t>AVG.Rating</a:t>
          </a:r>
        </a:p>
      </xdr:txBody>
    </xdr:sp>
    <xdr:clientData/>
  </xdr:twoCellAnchor>
  <xdr:twoCellAnchor editAs="oneCell">
    <xdr:from>
      <xdr:col>2</xdr:col>
      <xdr:colOff>8865</xdr:colOff>
      <xdr:row>25</xdr:row>
      <xdr:rowOff>20092</xdr:rowOff>
    </xdr:from>
    <xdr:to>
      <xdr:col>2</xdr:col>
      <xdr:colOff>277409</xdr:colOff>
      <xdr:row>26</xdr:row>
      <xdr:rowOff>103909</xdr:rowOff>
    </xdr:to>
    <xdr:pic>
      <xdr:nvPicPr>
        <xdr:cNvPr id="18" name="Graphic 17">
          <a:extLst>
            <a:ext uri="{FF2B5EF4-FFF2-40B4-BE49-F238E27FC236}">
              <a16:creationId xmlns:a16="http://schemas.microsoft.com/office/drawing/2014/main" id="{74FCABBA-4446-4736-9DBB-31E1F97260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89865" y="4638274"/>
          <a:ext cx="268544" cy="268544"/>
        </a:xfrm>
        <a:prstGeom prst="rect">
          <a:avLst/>
        </a:prstGeom>
      </xdr:spPr>
    </xdr:pic>
    <xdr:clientData/>
  </xdr:twoCellAnchor>
  <xdr:twoCellAnchor>
    <xdr:from>
      <xdr:col>2</xdr:col>
      <xdr:colOff>546677</xdr:colOff>
      <xdr:row>29</xdr:row>
      <xdr:rowOff>2</xdr:rowOff>
    </xdr:from>
    <xdr:to>
      <xdr:col>3</xdr:col>
      <xdr:colOff>554182</xdr:colOff>
      <xdr:row>29</xdr:row>
      <xdr:rowOff>173183</xdr:rowOff>
    </xdr:to>
    <xdr:sp macro="" textlink="Pivots!D10">
      <xdr:nvSpPr>
        <xdr:cNvPr id="19" name="TextBox 18">
          <a:extLst>
            <a:ext uri="{FF2B5EF4-FFF2-40B4-BE49-F238E27FC236}">
              <a16:creationId xmlns:a16="http://schemas.microsoft.com/office/drawing/2014/main" id="{B640C086-0306-41AD-920B-AEE7716905DC}"/>
            </a:ext>
          </a:extLst>
        </xdr:cNvPr>
        <xdr:cNvSpPr txBox="1"/>
      </xdr:nvSpPr>
      <xdr:spPr>
        <a:xfrm>
          <a:off x="927677" y="5357093"/>
          <a:ext cx="746414" cy="17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984189-7DF1-4CBC-95E9-BEEA17EAB3FF}" type="TxLink">
            <a:rPr lang="en-US" sz="1100" b="0" i="0" u="none" strike="noStrike">
              <a:solidFill>
                <a:schemeClr val="accent6">
                  <a:lumMod val="20000"/>
                  <a:lumOff val="80000"/>
                </a:schemeClr>
              </a:solidFill>
              <a:latin typeface="Arial Rounded MT Bold" panose="020F0704030504030204" pitchFamily="34" charset="0"/>
              <a:ea typeface="Calibri"/>
              <a:cs typeface="Calibri"/>
            </a:rPr>
            <a:pPr marL="0" indent="0" algn="ctr"/>
            <a:t>3.9</a:t>
          </a:fld>
          <a:endParaRPr lang="en-IN" sz="1100" b="0" i="0" u="none" strike="noStrike">
            <a:solidFill>
              <a:schemeClr val="accent6">
                <a:lumMod val="20000"/>
                <a:lumOff val="80000"/>
              </a:schemeClr>
            </a:solidFill>
            <a:latin typeface="Arial Rounded MT Bold" panose="020F0704030504030204" pitchFamily="34" charset="0"/>
            <a:ea typeface="Calibri"/>
            <a:cs typeface="Calibri"/>
          </a:endParaRPr>
        </a:p>
      </xdr:txBody>
    </xdr:sp>
    <xdr:clientData/>
  </xdr:twoCellAnchor>
  <xdr:twoCellAnchor>
    <xdr:from>
      <xdr:col>2</xdr:col>
      <xdr:colOff>11546</xdr:colOff>
      <xdr:row>32</xdr:row>
      <xdr:rowOff>57727</xdr:rowOff>
    </xdr:from>
    <xdr:to>
      <xdr:col>4</xdr:col>
      <xdr:colOff>519546</xdr:colOff>
      <xdr:row>38</xdr:row>
      <xdr:rowOff>57727</xdr:rowOff>
    </xdr:to>
    <xdr:sp macro="" textlink="Pivots!E4">
      <xdr:nvSpPr>
        <xdr:cNvPr id="20" name="Rectangle 19">
          <a:extLst>
            <a:ext uri="{FF2B5EF4-FFF2-40B4-BE49-F238E27FC236}">
              <a16:creationId xmlns:a16="http://schemas.microsoft.com/office/drawing/2014/main" id="{B40B9FFE-1189-408E-BCDC-6356744B36F1}"/>
            </a:ext>
          </a:extLst>
        </xdr:cNvPr>
        <xdr:cNvSpPr/>
      </xdr:nvSpPr>
      <xdr:spPr>
        <a:xfrm>
          <a:off x="392546" y="5969000"/>
          <a:ext cx="1858818" cy="1108363"/>
        </a:xfrm>
        <a:prstGeom prst="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6F084BE-A3C7-4A18-8EEE-327E46DD8991}" type="TxLink">
            <a:rPr lang="en-US" sz="2400" b="0" i="0" u="none" strike="noStrike">
              <a:solidFill>
                <a:schemeClr val="bg1"/>
              </a:solidFill>
              <a:latin typeface="Arial Rounded MT Bold" panose="020F0704030504030204" pitchFamily="34" charset="0"/>
              <a:ea typeface="Calibri"/>
              <a:cs typeface="Calibri"/>
            </a:rPr>
            <a:pPr marL="0" indent="0" algn="ctr"/>
            <a:t>307</a:t>
          </a:fld>
          <a:endParaRPr lang="en-US" sz="2400" b="0"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2</xdr:col>
      <xdr:colOff>331643</xdr:colOff>
      <xdr:row>32</xdr:row>
      <xdr:rowOff>173181</xdr:rowOff>
    </xdr:from>
    <xdr:to>
      <xdr:col>4</xdr:col>
      <xdr:colOff>230909</xdr:colOff>
      <xdr:row>34</xdr:row>
      <xdr:rowOff>69272</xdr:rowOff>
    </xdr:to>
    <xdr:sp macro="" textlink="">
      <xdr:nvSpPr>
        <xdr:cNvPr id="21" name="TextBox 20">
          <a:extLst>
            <a:ext uri="{FF2B5EF4-FFF2-40B4-BE49-F238E27FC236}">
              <a16:creationId xmlns:a16="http://schemas.microsoft.com/office/drawing/2014/main" id="{E2921D3E-0453-4DB4-BDE6-E10D65E9865A}"/>
            </a:ext>
          </a:extLst>
        </xdr:cNvPr>
        <xdr:cNvSpPr txBox="1"/>
      </xdr:nvSpPr>
      <xdr:spPr>
        <a:xfrm>
          <a:off x="712643" y="6084454"/>
          <a:ext cx="1250084" cy="265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Arial Rounded MT Bold" panose="020F0704030504030204" pitchFamily="34" charset="0"/>
            </a:rPr>
            <a:t>Happy</a:t>
          </a:r>
          <a:r>
            <a:rPr lang="en-IN" sz="1100" baseline="0">
              <a:solidFill>
                <a:schemeClr val="bg1">
                  <a:lumMod val="95000"/>
                </a:schemeClr>
              </a:solidFill>
              <a:latin typeface="Arial Rounded MT Bold" panose="020F0704030504030204" pitchFamily="34" charset="0"/>
            </a:rPr>
            <a:t> callers</a:t>
          </a:r>
          <a:endParaRPr lang="en-IN" sz="1100">
            <a:solidFill>
              <a:schemeClr val="bg1">
                <a:lumMod val="95000"/>
              </a:schemeClr>
            </a:solidFill>
            <a:latin typeface="Arial Rounded MT Bold" panose="020F0704030504030204" pitchFamily="34" charset="0"/>
          </a:endParaRPr>
        </a:p>
      </xdr:txBody>
    </xdr:sp>
    <xdr:clientData/>
  </xdr:twoCellAnchor>
  <xdr:twoCellAnchor editAs="oneCell">
    <xdr:from>
      <xdr:col>1</xdr:col>
      <xdr:colOff>169462</xdr:colOff>
      <xdr:row>32</xdr:row>
      <xdr:rowOff>157257</xdr:rowOff>
    </xdr:from>
    <xdr:to>
      <xdr:col>2</xdr:col>
      <xdr:colOff>254000</xdr:colOff>
      <xdr:row>34</xdr:row>
      <xdr:rowOff>80159</xdr:rowOff>
    </xdr:to>
    <xdr:pic>
      <xdr:nvPicPr>
        <xdr:cNvPr id="22" name="Graphic 21">
          <a:extLst>
            <a:ext uri="{FF2B5EF4-FFF2-40B4-BE49-F238E27FC236}">
              <a16:creationId xmlns:a16="http://schemas.microsoft.com/office/drawing/2014/main" id="{2F7BE8E5-DEA8-41D2-A79B-8F8DD2561B0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42644" y="6068530"/>
          <a:ext cx="292356" cy="292356"/>
        </a:xfrm>
        <a:prstGeom prst="rect">
          <a:avLst/>
        </a:prstGeom>
      </xdr:spPr>
    </xdr:pic>
    <xdr:clientData/>
  </xdr:twoCellAnchor>
  <xdr:twoCellAnchor>
    <xdr:from>
      <xdr:col>2</xdr:col>
      <xdr:colOff>457489</xdr:colOff>
      <xdr:row>36</xdr:row>
      <xdr:rowOff>115455</xdr:rowOff>
    </xdr:from>
    <xdr:to>
      <xdr:col>4</xdr:col>
      <xdr:colOff>57728</xdr:colOff>
      <xdr:row>38</xdr:row>
      <xdr:rowOff>34637</xdr:rowOff>
    </xdr:to>
    <xdr:sp macro="" textlink="Pivots!E10">
      <xdr:nvSpPr>
        <xdr:cNvPr id="23" name="TextBox 22">
          <a:extLst>
            <a:ext uri="{FF2B5EF4-FFF2-40B4-BE49-F238E27FC236}">
              <a16:creationId xmlns:a16="http://schemas.microsoft.com/office/drawing/2014/main" id="{817AC4EE-2487-435F-9731-9B3A32CC4F8C}"/>
            </a:ext>
          </a:extLst>
        </xdr:cNvPr>
        <xdr:cNvSpPr txBox="1"/>
      </xdr:nvSpPr>
      <xdr:spPr>
        <a:xfrm>
          <a:off x="838489" y="6765637"/>
          <a:ext cx="951057" cy="28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17953F-6F6E-4B5F-A479-01BFC40D17F5}" type="TxLink">
            <a:rPr lang="en-US" sz="1100" b="0" i="0" u="none" strike="noStrike">
              <a:solidFill>
                <a:schemeClr val="accent6">
                  <a:lumMod val="20000"/>
                  <a:lumOff val="80000"/>
                </a:schemeClr>
              </a:solidFill>
              <a:latin typeface="Arial Rounded MT Bold" panose="020F0704030504030204" pitchFamily="34" charset="0"/>
              <a:ea typeface="Calibri"/>
              <a:cs typeface="Calibri"/>
            </a:rPr>
            <a:pPr marL="0" indent="0" algn="ctr"/>
            <a:t>74</a:t>
          </a:fld>
          <a:endParaRPr lang="en-IN" sz="1100" b="0" i="0" u="none" strike="noStrike">
            <a:solidFill>
              <a:schemeClr val="accent6">
                <a:lumMod val="20000"/>
                <a:lumOff val="80000"/>
              </a:schemeClr>
            </a:solidFill>
            <a:latin typeface="Arial Rounded MT Bold" panose="020F0704030504030204" pitchFamily="34" charset="0"/>
            <a:ea typeface="Calibri"/>
            <a:cs typeface="Calibri"/>
          </a:endParaRPr>
        </a:p>
      </xdr:txBody>
    </xdr:sp>
    <xdr:clientData/>
  </xdr:twoCellAnchor>
  <xdr:twoCellAnchor editAs="oneCell">
    <xdr:from>
      <xdr:col>15</xdr:col>
      <xdr:colOff>75042</xdr:colOff>
      <xdr:row>17</xdr:row>
      <xdr:rowOff>19242</xdr:rowOff>
    </xdr:from>
    <xdr:to>
      <xdr:col>16</xdr:col>
      <xdr:colOff>365606</xdr:colOff>
      <xdr:row>27</xdr:row>
      <xdr:rowOff>57728</xdr:rowOff>
    </xdr:to>
    <mc:AlternateContent xmlns:mc="http://schemas.openxmlformats.org/markup-compatibility/2006" xmlns:a14="http://schemas.microsoft.com/office/drawing/2010/main">
      <mc:Choice Requires="a14">
        <xdr:graphicFrame macro="">
          <xdr:nvGraphicFramePr>
            <xdr:cNvPr id="24" name="Representative">
              <a:extLst>
                <a:ext uri="{FF2B5EF4-FFF2-40B4-BE49-F238E27FC236}">
                  <a16:creationId xmlns:a16="http://schemas.microsoft.com/office/drawing/2014/main" id="{C2110F66-F323-4178-ADEF-8E8AB6C6F21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464739" y="3126894"/>
              <a:ext cx="896700" cy="186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221289</xdr:colOff>
      <xdr:row>1</xdr:row>
      <xdr:rowOff>125076</xdr:rowOff>
    </xdr:from>
    <xdr:to>
      <xdr:col>15</xdr:col>
      <xdr:colOff>577273</xdr:colOff>
      <xdr:row>14</xdr:row>
      <xdr:rowOff>153940</xdr:rowOff>
    </xdr:to>
    <xdr:graphicFrame macro="">
      <xdr:nvGraphicFramePr>
        <xdr:cNvPr id="27" name="Chart 26">
          <a:extLst>
            <a:ext uri="{FF2B5EF4-FFF2-40B4-BE49-F238E27FC236}">
              <a16:creationId xmlns:a16="http://schemas.microsoft.com/office/drawing/2014/main" id="{D3A62820-490E-49F0-A055-F29FD5E91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9622</xdr:colOff>
      <xdr:row>1</xdr:row>
      <xdr:rowOff>125075</xdr:rowOff>
    </xdr:from>
    <xdr:to>
      <xdr:col>12</xdr:col>
      <xdr:colOff>86591</xdr:colOff>
      <xdr:row>15</xdr:row>
      <xdr:rowOff>0</xdr:rowOff>
    </xdr:to>
    <xdr:graphicFrame macro="">
      <xdr:nvGraphicFramePr>
        <xdr:cNvPr id="26" name="Chart 25">
          <a:extLst>
            <a:ext uri="{FF2B5EF4-FFF2-40B4-BE49-F238E27FC236}">
              <a16:creationId xmlns:a16="http://schemas.microsoft.com/office/drawing/2014/main" id="{F0FF58B3-B51E-4D52-9BED-B22292AF7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0</xdr:colOff>
      <xdr:row>16</xdr:row>
      <xdr:rowOff>48106</xdr:rowOff>
    </xdr:from>
    <xdr:to>
      <xdr:col>14</xdr:col>
      <xdr:colOff>490104</xdr:colOff>
      <xdr:row>34</xdr:row>
      <xdr:rowOff>86591</xdr:rowOff>
    </xdr:to>
    <xdr:graphicFrame macro="">
      <xdr:nvGraphicFramePr>
        <xdr:cNvPr id="28" name="Chart 27">
          <a:extLst>
            <a:ext uri="{FF2B5EF4-FFF2-40B4-BE49-F238E27FC236}">
              <a16:creationId xmlns:a16="http://schemas.microsoft.com/office/drawing/2014/main" id="{2A2F34A0-7B71-4971-A305-01604FE23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596516</xdr:colOff>
      <xdr:row>16</xdr:row>
      <xdr:rowOff>57728</xdr:rowOff>
    </xdr:from>
    <xdr:to>
      <xdr:col>10</xdr:col>
      <xdr:colOff>20398</xdr:colOff>
      <xdr:row>34</xdr:row>
      <xdr:rowOff>139123</xdr:rowOff>
    </xdr:to>
    <xdr:graphicFrame macro="">
      <xdr:nvGraphicFramePr>
        <xdr:cNvPr id="29" name="Chart 28">
          <a:extLst>
            <a:ext uri="{FF2B5EF4-FFF2-40B4-BE49-F238E27FC236}">
              <a16:creationId xmlns:a16="http://schemas.microsoft.com/office/drawing/2014/main" id="{D0B55FBD-65DE-43C7-A461-4B92B3DD4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153938</xdr:colOff>
      <xdr:row>1</xdr:row>
      <xdr:rowOff>28862</xdr:rowOff>
    </xdr:from>
    <xdr:to>
      <xdr:col>20</xdr:col>
      <xdr:colOff>500302</xdr:colOff>
      <xdr:row>15</xdr:row>
      <xdr:rowOff>9621</xdr:rowOff>
    </xdr:to>
    <xdr:graphicFrame macro="">
      <xdr:nvGraphicFramePr>
        <xdr:cNvPr id="5" name="Chart 4">
          <a:extLst>
            <a:ext uri="{FF2B5EF4-FFF2-40B4-BE49-F238E27FC236}">
              <a16:creationId xmlns:a16="http://schemas.microsoft.com/office/drawing/2014/main" id="{71AAC932-6B10-43D8-9A23-EB3388C3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9621</xdr:colOff>
      <xdr:row>0</xdr:row>
      <xdr:rowOff>182802</xdr:rowOff>
    </xdr:from>
    <xdr:to>
      <xdr:col>25</xdr:col>
      <xdr:colOff>153938</xdr:colOff>
      <xdr:row>14</xdr:row>
      <xdr:rowOff>173181</xdr:rowOff>
    </xdr:to>
    <xdr:graphicFrame macro="">
      <xdr:nvGraphicFramePr>
        <xdr:cNvPr id="25" name="Chart 24">
          <a:extLst>
            <a:ext uri="{FF2B5EF4-FFF2-40B4-BE49-F238E27FC236}">
              <a16:creationId xmlns:a16="http://schemas.microsoft.com/office/drawing/2014/main" id="{ADB2416A-5C62-4EA6-8B83-862154FF0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423066898147" backgroundQuery="1" createdVersion="8" refreshedVersion="8" minRefreshableVersion="3" recordCount="0" supportSubquery="1" supportAdvancedDrill="1" xr:uid="{0E9E9608-5949-4F88-AAEF-5711ECD45313}">
  <cacheSource type="external" connectionId="1"/>
  <cacheFields count="3">
    <cacheField name="[calls].[Representative].[Representative]" caption="Representative" numFmtId="0" hierarchy="3" level="1">
      <sharedItems count="5">
        <s v="R01"/>
        <s v="R02"/>
        <s v="R03"/>
        <s v="R04"/>
        <s v="R05"/>
      </sharedItems>
    </cacheField>
    <cacheField name="[Measures].[CallCount]" caption="CallCount" numFmtId="0" hierarchy="18" level="32767"/>
    <cacheField name="[Measures].[TotalAmount]" caption="Total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1"/>
      </fieldsUsage>
    </cacheHierarchy>
    <cacheHierarchy uniqueName="[Measures].[TotalAmount]" caption="Total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423068402779" backgroundQuery="1" createdVersion="8" refreshedVersion="8" minRefreshableVersion="3" recordCount="0" supportSubquery="1" supportAdvancedDrill="1" xr:uid="{FB2D6D29-4AF0-40E8-B9F0-B6771CDA6697}">
  <cacheSource type="external" connectionId="1"/>
  <cacheFields count="5">
    <cacheField name="[Measures].[CallCount]" caption="CallCount" numFmtId="0" hierarchy="18" level="32767"/>
    <cacheField name="[Measures].[TotalAmount]" caption="TotalAmount" numFmtId="0" hierarchy="19" level="32767"/>
    <cacheField name="[Measures].[Total Duration]" caption="Total Duration" numFmtId="0" hierarchy="20" level="32767"/>
    <cacheField name="[Measures].[Avg Rating]" caption="Avg Rating" numFmtId="0" hierarchy="21" level="32767"/>
    <cacheField name="[Measures].[5 Star Calls]" caption="5 Star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0"/>
      </fieldsUsage>
    </cacheHierarchy>
    <cacheHierarchy uniqueName="[Measures].[TotalAmount]" caption="Total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423714004632" backgroundQuery="1" createdVersion="8" refreshedVersion="8" minRefreshableVersion="3" recordCount="0" supportSubquery="1" supportAdvancedDrill="1" xr:uid="{C57EADE9-96BC-4BAE-A8A6-807C506B36F5}">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Count]" caption="Call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2"/>
      </fieldsUsage>
    </cacheHierarchy>
    <cacheHierarchy uniqueName="[Measures].[TotalAmount]" caption="Total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459710185183" backgroundQuery="1" createdVersion="8" refreshedVersion="8" minRefreshableVersion="3" recordCount="0" supportSubquery="1" supportAdvancedDrill="1" xr:uid="{1028FADF-2185-462E-88EA-CB83C1624357}">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Amount]" caption="Total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cacheHierarchy uniqueName="[Measures].[TotalAmount]" caption="Total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588894328706" backgroundQuery="1" createdVersion="8" refreshedVersion="8" minRefreshableVersion="3" recordCount="0" supportSubquery="1" supportAdvancedDrill="1" xr:uid="{3104A6BA-9127-4FF9-8619-364F0742D9B1}">
  <cacheSource type="external" connectionId="1"/>
  <cacheFields count="6">
    <cacheField name="[Measures].[CallCount]" caption="CallCount" numFmtId="0" hierarchy="18" level="32767"/>
    <cacheField name="[Measures].[TotalAmount]" caption="TotalAmount" numFmtId="0" hierarchy="19" level="32767"/>
    <cacheField name="[Measures].[Total Duration]" caption="Total Duration" numFmtId="0" hierarchy="20" level="32767"/>
    <cacheField name="[Measures].[Avg Rating]" caption="Avg Rating" numFmtId="0" hierarchy="21" level="32767"/>
    <cacheField name="[Measures].[5 Star Calls]" caption="5 Star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0"/>
      </fieldsUsage>
    </cacheHierarchy>
    <cacheHierarchy uniqueName="[Measures].[TotalAmount]" caption="Total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588894907407" backgroundQuery="1" createdVersion="8" refreshedVersion="8" minRefreshableVersion="3" recordCount="0" supportSubquery="1" supportAdvancedDrill="1" xr:uid="{4F6AF2B4-8482-4CF7-A28D-4CF767997F9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3-01-31T00:00:00" count="1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Count]" caption="Call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3"/>
      </fieldsUsage>
    </cacheHierarchy>
    <cacheHierarchy uniqueName="[Measures].[TotalAmount]" caption="Total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588895370369" backgroundQuery="1" createdVersion="8" refreshedVersion="8" minRefreshableVersion="3" recordCount="0" supportSubquery="1" supportAdvancedDrill="1" xr:uid="{5BB0F895-FE47-439E-811C-A075E01F52D5}">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Count]" caption="Call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2"/>
      </fieldsUsage>
    </cacheHierarchy>
    <cacheHierarchy uniqueName="[Measures].[TotalAmount]" caption="Total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588895717592" backgroundQuery="1" createdVersion="8" refreshedVersion="8" minRefreshableVersion="3" recordCount="0" supportSubquery="1" supportAdvancedDrill="1" xr:uid="{B19CC2BA-DAB1-4286-86F7-0890028A3DAE}">
  <cacheSource type="external" connectionId="1"/>
  <cacheFields count="1">
    <cacheField name="[calls].[Representative].[Representative]" caption="Representative" numFmtId="0" hierarchy="3" level="1">
      <sharedItems count="1">
        <s v="R02"/>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cacheHierarchy uniqueName="[Measures].[TotalAmount]" caption="Total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588896064815" backgroundQuery="1" createdVersion="8" refreshedVersion="8" minRefreshableVersion="3" recordCount="0" supportSubquery="1" supportAdvancedDrill="1" xr:uid="{F230E5CD-EFDE-4DD2-B64E-3FDE06C4CF9E}">
  <cacheSource type="external" connectionId="1"/>
  <cacheFields count="3">
    <cacheField name="[Measures].[CallCount]" caption="Call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oneField="1">
      <fieldsUsage count="1">
        <fieldUsage x="0"/>
      </fieldsUsage>
    </cacheHierarchy>
    <cacheHierarchy uniqueName="[Measures].[TotalAmount]" caption="Total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h Nadendla" refreshedDate="46068.423058333334" backgroundQuery="1" createdVersion="3" refreshedVersion="8" minRefreshableVersion="3" recordCount="0" supportSubquery="1" supportAdvancedDrill="1" xr:uid="{B5FF26E5-2BDD-45CC-A7D3-0AC90D80233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Count]" caption="CallCount" measure="1" displayFolder="" measureGroup="calls" count="0"/>
    <cacheHierarchy uniqueName="[Measures].[TotalAmount]" caption="Total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60670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38575-11B9-4EF0-81D3-705D6B1930C4}" name="rep pivot" cacheId="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DD5DE-3D54-4316-B814-91EA34DB78C2}"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06DD4-4E22-4AF1-A0B3-3E642A5ADF53}" name="selected rep" cacheId="1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65:D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76C83-C323-4DE2-B0D4-B8BEF951652C}" name="reps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BDA2CD-DDCB-4391-883F-7C452580920B}"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308B8A-1D86-4C27-AB72-A79D02F1DD66}" name="rep satisfaction" cacheId="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89:B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86A67C-3E71-4FAF-A742-30B0392DF58C}" name="weekday trend" cacheId="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G24:H3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27"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6586CA-0CE5-469B-BDAE-A7CD64DBD70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0A215F-196F-43BE-BCE0-DC3B494EB31A}" name="monthly trend"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Count2" fld="4" subtotal="count" baseField="0" baseItem="0">
      <extLst>
        <ext xmlns:x14="http://schemas.microsoft.com/office/spreadsheetml/2009/9/main" uri="{E15A36E0-9728-4e99-A89B-3F7291B0FE68}">
          <x14:dataField sourceField="3" uniqueName="[__Xl2].[Measures].[CallCount]"/>
        </ext>
      </extLst>
    </dataField>
  </dataFields>
  <chartFormats count="2">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B882189-6DE9-4533-AE7D-0F5320D3FABD}" sourceName="[calls].[Representative]">
  <pivotTables>
    <pivotTable tabId="6" name="rep pivot"/>
    <pivotTable tabId="6" name="monthly trend"/>
    <pivotTable tabId="6" name="weekday trend"/>
    <pivotTable tabId="6" name="selected rep"/>
    <pivotTable tabId="6" name="rep satisfaction"/>
  </pivotTables>
  <data>
    <olap pivotCacheId="167606709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0C54F62-7A07-41A6-806E-14DC5AFBF5E0}" cache="Slicer_Representative" caption="Representative" level="1" style="SlicerStyleDark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2"/>
    <tableColumn id="5" xr3:uid="{5A35565E-8707-4DED-AD15-A0669D67B382}" name="Date of Call" dataDxfId="21"/>
    <tableColumn id="6" xr3:uid="{F2E4F158-B41F-47BC-8DF8-DFCADFEE4E40}" name="Purchase Amount"/>
    <tableColumn id="7" xr3:uid="{04B291B5-47BD-4F78-8FD8-D1551CCA6BD9}" name="Satisfaction Rating"/>
    <tableColumn id="8" xr3:uid="{6E4123C0-0B17-43B8-A142-A1E540CE974C}" name="FY" dataDxfId="20">
      <calculatedColumnFormula>IF(MONTH(calls[[#This Row],[Date of Call]])&lt;=6, YEAR(calls[[#This Row],[Date of Call]]), YEAR(calls[[#This Row],[Date of Call]])+1)</calculatedColumnFormula>
    </tableColumn>
    <tableColumn id="9" xr3:uid="{199FA271-5E9B-46CE-9BC6-2801F92CD17E}" name="Day of week" dataDxfId="19">
      <calculatedColumnFormula>TEXT(calls[[#This Row],[Date of Call]],"DDDD")</calculatedColumnFormula>
    </tableColumn>
    <tableColumn id="10" xr3:uid="{328CDB09-95B8-4D5E-9ED9-EF0D363735A1}" name="Duration Bucket" dataDxfId="1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6" headerRowBorderDxfId="15" tableBorderDxfId="14" totalsRowBorderDxfId="13">
  <autoFilter ref="Q3:T18" xr:uid="{27158F51-A707-4171-8A04-81FB0AABCBA5}"/>
  <tableColumns count="4">
    <tableColumn id="1" xr3:uid="{02688061-6A8C-4E23-B7FF-D00CD8B58CAC}" name="Customer ID" dataDxfId="12"/>
    <tableColumn id="2" xr3:uid="{771678B6-DB44-426B-9874-B4E421A440D5}" name="Gedner" dataDxfId="11"/>
    <tableColumn id="3" xr3:uid="{B0D41C62-587E-494D-B49A-603F2C05F8D3}" name="Age" dataDxfId="10"/>
    <tableColumn id="4" xr3:uid="{663F92D6-FE31-4D81-9E01-8D066DDC8A88}" name="City"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 zoomScale="70" zoomScaleNormal="70" workbookViewId="0">
      <selection activeCell="C21" sqref="C21"/>
    </sheetView>
  </sheetViews>
  <sheetFormatPr defaultRowHeight="14.5" x14ac:dyDescent="0.35"/>
  <cols>
    <col min="1" max="1" width="3.54296875" customWidth="1"/>
    <col min="2" max="2" width="14.6328125" customWidth="1"/>
    <col min="3" max="3" width="12.90625" customWidth="1"/>
    <col min="4" max="4" width="16.6328125" customWidth="1"/>
    <col min="5" max="5" width="15.08984375" customWidth="1"/>
    <col min="6" max="6" width="16.1796875" customWidth="1"/>
    <col min="7" max="7" width="17.26953125" customWidth="1"/>
    <col min="8" max="8" width="18.36328125" customWidth="1"/>
    <col min="9" max="9" width="17.26953125" customWidth="1"/>
    <col min="10" max="12" width="15.54296875" customWidth="1"/>
    <col min="13" max="16" width="7.54296875" customWidth="1"/>
    <col min="17" max="17" width="14.6328125" customWidth="1"/>
    <col min="20" max="20" width="10.6328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EB79-EFB0-4730-B129-135A84385E37}">
  <dimension ref="A1:AP39"/>
  <sheetViews>
    <sheetView zoomScale="66" zoomScaleNormal="40" workbookViewId="0">
      <selection activeCell="R30" sqref="R30"/>
    </sheetView>
  </sheetViews>
  <sheetFormatPr defaultRowHeight="14.5" x14ac:dyDescent="0.35"/>
  <cols>
    <col min="1" max="1" width="2.54296875" customWidth="1"/>
    <col min="2" max="2" width="2.90625" customWidth="1"/>
    <col min="3" max="3" width="10.54296875" customWidth="1"/>
    <col min="18" max="18" width="13.453125" customWidth="1"/>
  </cols>
  <sheetData>
    <row r="1" spans="1:42" x14ac:dyDescent="0.3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row>
    <row r="2" spans="1:42"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spans="1:42"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row>
    <row r="4" spans="1:42" x14ac:dyDescent="0.3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row>
    <row r="5" spans="1:42"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row>
    <row r="6" spans="1:42" x14ac:dyDescent="0.3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row>
    <row r="7" spans="1:42"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row>
    <row r="8" spans="1:42" x14ac:dyDescent="0.3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row>
    <row r="9" spans="1:42" x14ac:dyDescent="0.3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row>
    <row r="10" spans="1:42" x14ac:dyDescent="0.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row>
    <row r="11" spans="1:42" x14ac:dyDescent="0.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row>
    <row r="12" spans="1:42" x14ac:dyDescent="0.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row>
    <row r="13" spans="1:42" x14ac:dyDescent="0.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row>
    <row r="14" spans="1:42"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row>
    <row r="15" spans="1:42" x14ac:dyDescent="0.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row>
    <row r="16" spans="1:42" x14ac:dyDescent="0.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row>
    <row r="17" spans="1:42" x14ac:dyDescent="0.35">
      <c r="A17" s="20"/>
      <c r="B17" s="20"/>
      <c r="C17" s="20"/>
      <c r="D17" s="20"/>
      <c r="E17" s="20"/>
      <c r="F17" s="20"/>
      <c r="G17" s="20"/>
      <c r="H17" s="20"/>
      <c r="I17" s="20"/>
      <c r="J17" s="20"/>
      <c r="K17" s="20"/>
      <c r="L17" s="20"/>
      <c r="M17" s="20"/>
      <c r="N17" s="20"/>
      <c r="O17" s="20"/>
      <c r="P17" s="20"/>
      <c r="Q17" s="20"/>
      <c r="R17" s="29"/>
      <c r="S17" s="36" t="s">
        <v>11</v>
      </c>
      <c r="T17" s="36" t="s">
        <v>9</v>
      </c>
      <c r="U17" s="36" t="s">
        <v>6</v>
      </c>
      <c r="V17" s="36" t="s">
        <v>13</v>
      </c>
      <c r="W17" s="36" t="s">
        <v>10</v>
      </c>
      <c r="X17" s="37" t="s">
        <v>1077</v>
      </c>
      <c r="Y17" s="20"/>
      <c r="Z17" s="20"/>
      <c r="AA17" s="20"/>
      <c r="AB17" s="20"/>
      <c r="AC17" s="20"/>
      <c r="AD17" s="20"/>
      <c r="AE17" s="20"/>
      <c r="AF17" s="20"/>
      <c r="AG17" s="20"/>
      <c r="AH17" s="20"/>
      <c r="AI17" s="20"/>
      <c r="AJ17" s="20"/>
      <c r="AK17" s="20"/>
      <c r="AL17" s="20"/>
      <c r="AM17" s="20"/>
      <c r="AN17" s="20"/>
      <c r="AO17" s="20"/>
      <c r="AP17" s="20"/>
    </row>
    <row r="18" spans="1:42" x14ac:dyDescent="0.35">
      <c r="A18" s="20"/>
      <c r="B18" s="20"/>
      <c r="C18" s="20"/>
      <c r="D18" s="20"/>
      <c r="E18" s="20"/>
      <c r="F18" s="20"/>
      <c r="G18" s="20"/>
      <c r="H18" s="20"/>
      <c r="I18" s="20"/>
      <c r="J18" s="20"/>
      <c r="K18" s="20"/>
      <c r="L18" s="20"/>
      <c r="M18" s="20"/>
      <c r="N18" s="20"/>
      <c r="O18" s="20"/>
      <c r="P18" s="20"/>
      <c r="Q18" s="20"/>
      <c r="R18" s="38" t="str">
        <f>Pivots!A108</f>
        <v>Cincinnati</v>
      </c>
      <c r="S18" s="30">
        <f>Pivots!B108</f>
        <v>0</v>
      </c>
      <c r="T18" s="30">
        <f>Pivots!C108</f>
        <v>0</v>
      </c>
      <c r="U18" s="30">
        <f>Pivots!D108</f>
        <v>0</v>
      </c>
      <c r="V18" s="30">
        <f>Pivots!E108</f>
        <v>0</v>
      </c>
      <c r="W18" s="30">
        <f>Pivots!F108</f>
        <v>0</v>
      </c>
      <c r="X18" s="31">
        <f>Pivots!G108</f>
        <v>0</v>
      </c>
      <c r="Y18" s="20"/>
      <c r="Z18" s="20"/>
      <c r="AA18" s="20"/>
      <c r="AB18" s="20"/>
      <c r="AC18" s="20"/>
      <c r="AD18" s="20"/>
      <c r="AE18" s="20"/>
      <c r="AF18" s="20"/>
      <c r="AG18" s="20"/>
      <c r="AH18" s="20"/>
      <c r="AI18" s="20"/>
      <c r="AJ18" s="20"/>
      <c r="AK18" s="20"/>
      <c r="AL18" s="20"/>
      <c r="AM18" s="20"/>
      <c r="AN18" s="20"/>
      <c r="AO18" s="20"/>
      <c r="AP18" s="20"/>
    </row>
    <row r="19" spans="1:42" x14ac:dyDescent="0.35">
      <c r="A19" s="20"/>
      <c r="B19" s="20"/>
      <c r="C19" s="20"/>
      <c r="D19" s="20"/>
      <c r="E19" s="20"/>
      <c r="F19" s="20"/>
      <c r="G19" s="20"/>
      <c r="H19" s="20"/>
      <c r="I19" s="20"/>
      <c r="J19" s="20"/>
      <c r="K19" s="20"/>
      <c r="L19" s="20"/>
      <c r="M19" s="20"/>
      <c r="N19" s="20"/>
      <c r="O19" s="20"/>
      <c r="P19" s="20"/>
      <c r="Q19" s="20"/>
      <c r="R19" s="32" t="str">
        <f>Pivots!A109</f>
        <v>C0003</v>
      </c>
      <c r="S19" s="30">
        <f>Pivots!B109</f>
        <v>891</v>
      </c>
      <c r="T19" s="30">
        <f>Pivots!C109</f>
        <v>1332</v>
      </c>
      <c r="U19" s="30">
        <f>Pivots!D109</f>
        <v>1282</v>
      </c>
      <c r="V19" s="30">
        <f>Pivots!E109</f>
        <v>739</v>
      </c>
      <c r="W19" s="30">
        <f>Pivots!F109</f>
        <v>560</v>
      </c>
      <c r="X19" s="31">
        <f>Pivots!G109</f>
        <v>4804</v>
      </c>
      <c r="Y19" s="20"/>
      <c r="Z19" s="20"/>
      <c r="AA19" s="20"/>
      <c r="AB19" s="20"/>
      <c r="AC19" s="20"/>
      <c r="AD19" s="20"/>
      <c r="AE19" s="20"/>
      <c r="AF19" s="20"/>
      <c r="AG19" s="20"/>
      <c r="AH19" s="20"/>
      <c r="AI19" s="20"/>
    </row>
    <row r="20" spans="1:42" x14ac:dyDescent="0.35">
      <c r="A20" s="20"/>
      <c r="B20" s="20"/>
      <c r="C20" s="20"/>
      <c r="D20" s="20"/>
      <c r="E20" s="20"/>
      <c r="F20" s="20"/>
      <c r="G20" s="20"/>
      <c r="H20" s="20"/>
      <c r="I20" s="20"/>
      <c r="J20" s="20"/>
      <c r="K20" s="20"/>
      <c r="L20" s="20"/>
      <c r="M20" s="20"/>
      <c r="N20" s="20"/>
      <c r="O20" s="20"/>
      <c r="P20" s="20"/>
      <c r="Q20" s="20"/>
      <c r="R20" s="32" t="str">
        <f>Pivots!A110</f>
        <v>C0004</v>
      </c>
      <c r="S20" s="30">
        <f>Pivots!B110</f>
        <v>1991</v>
      </c>
      <c r="T20" s="30">
        <f>Pivots!C110</f>
        <v>1886</v>
      </c>
      <c r="U20" s="30">
        <f>Pivots!D110</f>
        <v>1206</v>
      </c>
      <c r="V20" s="30">
        <f>Pivots!E110</f>
        <v>884</v>
      </c>
      <c r="W20" s="30">
        <f>Pivots!F110</f>
        <v>1722</v>
      </c>
      <c r="X20" s="31">
        <f>Pivots!G110</f>
        <v>7689</v>
      </c>
      <c r="Y20" s="20"/>
      <c r="Z20" s="20"/>
      <c r="AA20" s="20"/>
      <c r="AB20" s="20"/>
      <c r="AC20" s="20"/>
      <c r="AD20" s="20"/>
      <c r="AE20" s="20"/>
      <c r="AF20" s="20"/>
      <c r="AG20" s="20"/>
      <c r="AH20" s="20"/>
      <c r="AI20" s="20"/>
    </row>
    <row r="21" spans="1:42" x14ac:dyDescent="0.35">
      <c r="A21" s="20"/>
      <c r="B21" s="20"/>
      <c r="C21" s="20"/>
      <c r="D21" s="20"/>
      <c r="E21" s="20"/>
      <c r="F21" s="20"/>
      <c r="G21" s="20"/>
      <c r="H21" s="20"/>
      <c r="I21" s="20"/>
      <c r="J21" s="20"/>
      <c r="K21" s="20"/>
      <c r="L21" s="20"/>
      <c r="M21" s="20"/>
      <c r="N21" s="20"/>
      <c r="O21" s="20"/>
      <c r="P21" s="20"/>
      <c r="Q21" s="20"/>
      <c r="R21" s="32" t="str">
        <f>Pivots!A111</f>
        <v>C0011</v>
      </c>
      <c r="S21" s="30">
        <f>Pivots!B111</f>
        <v>1163</v>
      </c>
      <c r="T21" s="30">
        <f>Pivots!C111</f>
        <v>1180</v>
      </c>
      <c r="U21" s="30">
        <f>Pivots!D111</f>
        <v>1616</v>
      </c>
      <c r="V21" s="30">
        <f>Pivots!E111</f>
        <v>1043</v>
      </c>
      <c r="W21" s="30">
        <f>Pivots!F111</f>
        <v>1747</v>
      </c>
      <c r="X21" s="31">
        <f>Pivots!G111</f>
        <v>6749</v>
      </c>
      <c r="Y21" s="20"/>
      <c r="Z21" s="20"/>
      <c r="AA21" s="20"/>
      <c r="AB21" s="20"/>
      <c r="AC21" s="20"/>
      <c r="AD21" s="20"/>
      <c r="AE21" s="20"/>
      <c r="AF21" s="20"/>
      <c r="AG21" s="20"/>
      <c r="AH21" s="20"/>
      <c r="AI21" s="20"/>
    </row>
    <row r="22" spans="1:42" x14ac:dyDescent="0.35">
      <c r="A22" s="20"/>
      <c r="B22" s="20"/>
      <c r="C22" s="20"/>
      <c r="D22" s="20"/>
      <c r="E22" s="20"/>
      <c r="F22" s="20"/>
      <c r="G22" s="20"/>
      <c r="H22" s="20"/>
      <c r="I22" s="20"/>
      <c r="J22" s="20"/>
      <c r="K22" s="20"/>
      <c r="L22" s="20"/>
      <c r="M22" s="20"/>
      <c r="N22" s="20"/>
      <c r="O22" s="20"/>
      <c r="P22" s="20"/>
      <c r="Q22" s="20"/>
      <c r="R22" s="32" t="str">
        <f>Pivots!A112</f>
        <v>C0012</v>
      </c>
      <c r="S22" s="30">
        <f>Pivots!B112</f>
        <v>1438</v>
      </c>
      <c r="T22" s="30">
        <f>Pivots!C112</f>
        <v>1616</v>
      </c>
      <c r="U22" s="30">
        <f>Pivots!D112</f>
        <v>866</v>
      </c>
      <c r="V22" s="30">
        <f>Pivots!E112</f>
        <v>829</v>
      </c>
      <c r="W22" s="30">
        <f>Pivots!F112</f>
        <v>2070</v>
      </c>
      <c r="X22" s="31">
        <f>Pivots!G112</f>
        <v>6819</v>
      </c>
      <c r="Y22" s="20"/>
      <c r="Z22" s="20"/>
      <c r="AA22" s="20"/>
      <c r="AB22" s="20"/>
      <c r="AC22" s="20"/>
      <c r="AD22" s="20"/>
      <c r="AE22" s="20"/>
      <c r="AF22" s="20"/>
      <c r="AG22" s="20"/>
      <c r="AH22" s="20"/>
      <c r="AI22" s="20"/>
    </row>
    <row r="23" spans="1:42" x14ac:dyDescent="0.35">
      <c r="A23" s="20"/>
      <c r="B23" s="20"/>
      <c r="C23" s="20"/>
      <c r="D23" s="20"/>
      <c r="E23" s="20"/>
      <c r="F23" s="20"/>
      <c r="G23" s="20"/>
      <c r="H23" s="20"/>
      <c r="I23" s="20"/>
      <c r="J23" s="20"/>
      <c r="K23" s="20"/>
      <c r="L23" s="20"/>
      <c r="M23" s="20"/>
      <c r="N23" s="20"/>
      <c r="O23" s="20"/>
      <c r="P23" s="20"/>
      <c r="Q23" s="20"/>
      <c r="R23" s="38" t="str">
        <f>Pivots!A113</f>
        <v>Cleveland</v>
      </c>
      <c r="S23" s="30">
        <f>Pivots!B113</f>
        <v>0</v>
      </c>
      <c r="T23" s="30">
        <f>Pivots!C113</f>
        <v>0</v>
      </c>
      <c r="U23" s="30">
        <f>Pivots!D113</f>
        <v>0</v>
      </c>
      <c r="V23" s="30">
        <f>Pivots!E113</f>
        <v>0</v>
      </c>
      <c r="W23" s="30">
        <f>Pivots!F113</f>
        <v>0</v>
      </c>
      <c r="X23" s="31">
        <f>Pivots!G113</f>
        <v>0</v>
      </c>
      <c r="Y23" s="20"/>
      <c r="Z23" s="20"/>
      <c r="AA23" s="20"/>
      <c r="AB23" s="20"/>
      <c r="AC23" s="20"/>
      <c r="AD23" s="20"/>
      <c r="AE23" s="20"/>
      <c r="AF23" s="20"/>
      <c r="AG23" s="20"/>
      <c r="AH23" s="20"/>
      <c r="AI23" s="20"/>
    </row>
    <row r="24" spans="1:42" x14ac:dyDescent="0.35">
      <c r="A24" s="20"/>
      <c r="B24" s="20"/>
      <c r="C24" s="20"/>
      <c r="D24" s="20"/>
      <c r="E24" s="20"/>
      <c r="F24" s="20"/>
      <c r="G24" s="20"/>
      <c r="H24" s="20"/>
      <c r="I24" s="20"/>
      <c r="J24" s="20"/>
      <c r="K24" s="20"/>
      <c r="L24" s="20"/>
      <c r="M24" s="20"/>
      <c r="N24" s="20"/>
      <c r="O24" s="20"/>
      <c r="P24" s="20"/>
      <c r="Q24" s="20"/>
      <c r="R24" s="32" t="str">
        <f>Pivots!A114</f>
        <v>C0002</v>
      </c>
      <c r="S24" s="30">
        <f>Pivots!B114</f>
        <v>1233</v>
      </c>
      <c r="T24" s="30">
        <f>Pivots!C114</f>
        <v>223</v>
      </c>
      <c r="U24" s="30">
        <f>Pivots!D114</f>
        <v>1680</v>
      </c>
      <c r="V24" s="30">
        <f>Pivots!E114</f>
        <v>990</v>
      </c>
      <c r="W24" s="30">
        <f>Pivots!F114</f>
        <v>1508</v>
      </c>
      <c r="X24" s="31">
        <f>Pivots!G114</f>
        <v>5634</v>
      </c>
      <c r="Y24" s="20"/>
      <c r="Z24" s="20"/>
      <c r="AA24" s="20"/>
      <c r="AB24" s="20"/>
      <c r="AC24" s="20"/>
      <c r="AD24" s="20"/>
      <c r="AE24" s="20"/>
      <c r="AF24" s="20"/>
      <c r="AG24" s="20"/>
      <c r="AH24" s="20"/>
      <c r="AI24" s="20"/>
    </row>
    <row r="25" spans="1:42" x14ac:dyDescent="0.35">
      <c r="A25" s="20"/>
      <c r="B25" s="20"/>
      <c r="C25" s="20"/>
      <c r="D25" s="20"/>
      <c r="E25" s="20"/>
      <c r="F25" s="20"/>
      <c r="G25" s="20"/>
      <c r="H25" s="20"/>
      <c r="I25" s="20"/>
      <c r="J25" s="20"/>
      <c r="K25" s="20"/>
      <c r="L25" s="20"/>
      <c r="M25" s="20"/>
      <c r="N25" s="20"/>
      <c r="O25" s="20"/>
      <c r="P25" s="20"/>
      <c r="Q25" s="20"/>
      <c r="R25" s="32" t="str">
        <f>Pivots!A115</f>
        <v>C0007</v>
      </c>
      <c r="S25" s="30">
        <f>Pivots!B115</f>
        <v>1598</v>
      </c>
      <c r="T25" s="30">
        <f>Pivots!C115</f>
        <v>1907</v>
      </c>
      <c r="U25" s="30">
        <f>Pivots!D115</f>
        <v>869</v>
      </c>
      <c r="V25" s="30">
        <f>Pivots!E115</f>
        <v>1426</v>
      </c>
      <c r="W25" s="30">
        <f>Pivots!F115</f>
        <v>1416</v>
      </c>
      <c r="X25" s="31">
        <f>Pivots!G115</f>
        <v>7216</v>
      </c>
      <c r="Y25" s="20"/>
      <c r="Z25" s="20"/>
      <c r="AA25" s="20"/>
      <c r="AB25" s="20"/>
      <c r="AC25" s="20"/>
      <c r="AD25" s="20"/>
      <c r="AE25" s="20"/>
      <c r="AF25" s="20"/>
      <c r="AG25" s="20"/>
      <c r="AH25" s="20"/>
      <c r="AI25" s="20"/>
    </row>
    <row r="26" spans="1:42" x14ac:dyDescent="0.35">
      <c r="A26" s="20"/>
      <c r="B26" s="20"/>
      <c r="C26" s="20"/>
      <c r="D26" s="20"/>
      <c r="E26" s="20"/>
      <c r="F26" s="20"/>
      <c r="G26" s="20"/>
      <c r="H26" s="20"/>
      <c r="I26" s="20"/>
      <c r="J26" s="20"/>
      <c r="K26" s="20"/>
      <c r="L26" s="20"/>
      <c r="M26" s="20"/>
      <c r="N26" s="20"/>
      <c r="O26" s="20"/>
      <c r="P26" s="20"/>
      <c r="Q26" s="20"/>
      <c r="R26" s="32" t="str">
        <f>Pivots!A116</f>
        <v>C0008</v>
      </c>
      <c r="S26" s="30">
        <f>Pivots!B116</f>
        <v>900</v>
      </c>
      <c r="T26" s="30">
        <f>Pivots!C116</f>
        <v>1016</v>
      </c>
      <c r="U26" s="30">
        <f>Pivots!D116</f>
        <v>960</v>
      </c>
      <c r="V26" s="30">
        <f>Pivots!E116</f>
        <v>940</v>
      </c>
      <c r="W26" s="30">
        <f>Pivots!F116</f>
        <v>1193</v>
      </c>
      <c r="X26" s="31">
        <f>Pivots!G116</f>
        <v>5009</v>
      </c>
      <c r="Y26" s="20"/>
      <c r="Z26" s="20"/>
      <c r="AA26" s="20"/>
      <c r="AB26" s="20"/>
      <c r="AC26" s="20"/>
      <c r="AD26" s="20"/>
      <c r="AE26" s="20"/>
      <c r="AF26" s="20"/>
      <c r="AG26" s="20"/>
      <c r="AH26" s="20"/>
      <c r="AI26" s="20"/>
    </row>
    <row r="27" spans="1:42" x14ac:dyDescent="0.35">
      <c r="A27" s="20"/>
      <c r="B27" s="20"/>
      <c r="C27" s="20"/>
      <c r="D27" s="20"/>
      <c r="E27" s="20"/>
      <c r="F27" s="20"/>
      <c r="G27" s="20"/>
      <c r="H27" s="20"/>
      <c r="I27" s="20"/>
      <c r="J27" s="20"/>
      <c r="K27" s="20"/>
      <c r="L27" s="20"/>
      <c r="M27" s="20"/>
      <c r="N27" s="20"/>
      <c r="O27" s="20"/>
      <c r="P27" s="20"/>
      <c r="Q27" s="20"/>
      <c r="R27" s="32" t="str">
        <f>Pivots!A117</f>
        <v>C0010</v>
      </c>
      <c r="S27" s="30">
        <f>Pivots!B117</f>
        <v>900</v>
      </c>
      <c r="T27" s="30">
        <f>Pivots!C117</f>
        <v>1470</v>
      </c>
      <c r="U27" s="30">
        <f>Pivots!D117</f>
        <v>1617</v>
      </c>
      <c r="V27" s="30">
        <f>Pivots!E117</f>
        <v>1314</v>
      </c>
      <c r="W27" s="30">
        <f>Pivots!F117</f>
        <v>941</v>
      </c>
      <c r="X27" s="31">
        <f>Pivots!G117</f>
        <v>6242</v>
      </c>
      <c r="Y27" s="20"/>
      <c r="Z27" s="20"/>
      <c r="AA27" s="20"/>
      <c r="AB27" s="20"/>
      <c r="AC27" s="20"/>
      <c r="AD27" s="20"/>
      <c r="AE27" s="20"/>
      <c r="AF27" s="20"/>
      <c r="AG27" s="20"/>
      <c r="AH27" s="20"/>
      <c r="AI27" s="20"/>
    </row>
    <row r="28" spans="1:42" x14ac:dyDescent="0.35">
      <c r="A28" s="20"/>
      <c r="B28" s="20"/>
      <c r="C28" s="20"/>
      <c r="D28" s="20"/>
      <c r="E28" s="20"/>
      <c r="F28" s="20"/>
      <c r="G28" s="20"/>
      <c r="H28" s="20"/>
      <c r="I28" s="20"/>
      <c r="J28" s="20"/>
      <c r="K28" s="20"/>
      <c r="L28" s="20"/>
      <c r="M28" s="20"/>
      <c r="N28" s="20"/>
      <c r="O28" s="20"/>
      <c r="P28" s="20"/>
      <c r="Q28" s="20"/>
      <c r="R28" s="32" t="str">
        <f>Pivots!A118</f>
        <v>C0013</v>
      </c>
      <c r="S28" s="30">
        <f>Pivots!B118</f>
        <v>1255</v>
      </c>
      <c r="T28" s="30">
        <f>Pivots!C118</f>
        <v>516</v>
      </c>
      <c r="U28" s="30">
        <f>Pivots!D118</f>
        <v>1874</v>
      </c>
      <c r="V28" s="30">
        <f>Pivots!E118</f>
        <v>1863</v>
      </c>
      <c r="W28" s="30">
        <f>Pivots!F118</f>
        <v>1722</v>
      </c>
      <c r="X28" s="31">
        <f>Pivots!G118</f>
        <v>7230</v>
      </c>
      <c r="Y28" s="20"/>
      <c r="Z28" s="20"/>
      <c r="AA28" s="20"/>
      <c r="AB28" s="20"/>
      <c r="AC28" s="20"/>
      <c r="AD28" s="20"/>
      <c r="AE28" s="20"/>
      <c r="AF28" s="20"/>
      <c r="AG28" s="20"/>
      <c r="AH28" s="20"/>
      <c r="AI28" s="20"/>
    </row>
    <row r="29" spans="1:42" x14ac:dyDescent="0.35">
      <c r="A29" s="20"/>
      <c r="B29" s="20"/>
      <c r="C29" s="20"/>
      <c r="D29" s="20"/>
      <c r="E29" s="20"/>
      <c r="F29" s="20"/>
      <c r="G29" s="20"/>
      <c r="H29" s="20"/>
      <c r="I29" s="20"/>
      <c r="J29" s="20"/>
      <c r="K29" s="20"/>
      <c r="L29" s="20"/>
      <c r="M29" s="20"/>
      <c r="N29" s="20"/>
      <c r="O29" s="20"/>
      <c r="P29" s="20"/>
      <c r="Q29" s="20"/>
      <c r="R29" s="32" t="str">
        <f>Pivots!A119</f>
        <v>C0015</v>
      </c>
      <c r="S29" s="30">
        <f>Pivots!B119</f>
        <v>1138</v>
      </c>
      <c r="T29" s="30">
        <f>Pivots!C119</f>
        <v>1898</v>
      </c>
      <c r="U29" s="30">
        <f>Pivots!D119</f>
        <v>1482</v>
      </c>
      <c r="V29" s="30">
        <f>Pivots!E119</f>
        <v>846</v>
      </c>
      <c r="W29" s="30">
        <f>Pivots!F119</f>
        <v>1154</v>
      </c>
      <c r="X29" s="31">
        <f>Pivots!G119</f>
        <v>6518</v>
      </c>
      <c r="Y29" s="20"/>
      <c r="Z29" s="20"/>
      <c r="AA29" s="20"/>
      <c r="AB29" s="20"/>
      <c r="AC29" s="20"/>
      <c r="AD29" s="20"/>
      <c r="AE29" s="20"/>
      <c r="AF29" s="20"/>
      <c r="AG29" s="20"/>
      <c r="AH29" s="20"/>
      <c r="AI29" s="20"/>
    </row>
    <row r="30" spans="1:42" x14ac:dyDescent="0.35">
      <c r="A30" s="20"/>
      <c r="B30" s="20"/>
      <c r="C30" s="20"/>
      <c r="D30" s="20"/>
      <c r="E30" s="20"/>
      <c r="F30" s="20"/>
      <c r="G30" s="20"/>
      <c r="H30" s="20"/>
      <c r="I30" s="20"/>
      <c r="J30" s="20"/>
      <c r="K30" s="20"/>
      <c r="L30" s="20"/>
      <c r="M30" s="20"/>
      <c r="N30" s="20"/>
      <c r="O30" s="20"/>
      <c r="P30" s="20"/>
      <c r="Q30" s="20"/>
      <c r="R30" s="38" t="str">
        <f>Pivots!A120</f>
        <v>Columbus</v>
      </c>
      <c r="S30" s="30">
        <f>Pivots!B120</f>
        <v>0</v>
      </c>
      <c r="T30" s="30">
        <f>Pivots!C120</f>
        <v>0</v>
      </c>
      <c r="U30" s="30">
        <f>Pivots!D120</f>
        <v>0</v>
      </c>
      <c r="V30" s="30">
        <f>Pivots!E120</f>
        <v>0</v>
      </c>
      <c r="W30" s="30">
        <f>Pivots!F120</f>
        <v>0</v>
      </c>
      <c r="X30" s="31">
        <f>Pivots!G120</f>
        <v>0</v>
      </c>
      <c r="Y30" s="20"/>
      <c r="Z30" s="20"/>
      <c r="AA30" s="20"/>
      <c r="AB30" s="20"/>
      <c r="AC30" s="20"/>
      <c r="AD30" s="20"/>
      <c r="AE30" s="20"/>
      <c r="AF30" s="20"/>
      <c r="AG30" s="20"/>
      <c r="AH30" s="20"/>
      <c r="AI30" s="20"/>
    </row>
    <row r="31" spans="1:42" x14ac:dyDescent="0.35">
      <c r="A31" s="20"/>
      <c r="B31" s="20"/>
      <c r="C31" s="20"/>
      <c r="D31" s="20"/>
      <c r="E31" s="20"/>
      <c r="F31" s="20"/>
      <c r="G31" s="20"/>
      <c r="H31" s="20"/>
      <c r="I31" s="20"/>
      <c r="J31" s="20"/>
      <c r="K31" s="20"/>
      <c r="L31" s="20"/>
      <c r="M31" s="20"/>
      <c r="N31" s="20"/>
      <c r="O31" s="20"/>
      <c r="P31" s="20"/>
      <c r="Q31" s="20"/>
      <c r="R31" s="32" t="str">
        <f>Pivots!A121</f>
        <v>C0001</v>
      </c>
      <c r="S31" s="30">
        <f>Pivots!B121</f>
        <v>1655</v>
      </c>
      <c r="T31" s="30">
        <f>Pivots!C121</f>
        <v>805</v>
      </c>
      <c r="U31" s="30">
        <f>Pivots!D121</f>
        <v>2263</v>
      </c>
      <c r="V31" s="30">
        <f>Pivots!E121</f>
        <v>987</v>
      </c>
      <c r="W31" s="30">
        <f>Pivots!F121</f>
        <v>1075</v>
      </c>
      <c r="X31" s="31">
        <f>Pivots!G121</f>
        <v>6785</v>
      </c>
      <c r="Y31" s="20"/>
      <c r="Z31" s="20"/>
      <c r="AA31" s="20"/>
      <c r="AB31" s="20"/>
      <c r="AC31" s="20"/>
      <c r="AD31" s="20"/>
      <c r="AE31" s="20"/>
      <c r="AF31" s="20"/>
      <c r="AG31" s="20"/>
      <c r="AH31" s="20"/>
      <c r="AI31" s="20"/>
    </row>
    <row r="32" spans="1:42" x14ac:dyDescent="0.35">
      <c r="A32" s="20"/>
      <c r="B32" s="20"/>
      <c r="C32" s="20"/>
      <c r="D32" s="20"/>
      <c r="E32" s="20"/>
      <c r="F32" s="20"/>
      <c r="G32" s="20"/>
      <c r="H32" s="20"/>
      <c r="I32" s="20"/>
      <c r="J32" s="20"/>
      <c r="K32" s="20"/>
      <c r="L32" s="20"/>
      <c r="M32" s="20"/>
      <c r="N32" s="20"/>
      <c r="O32" s="20"/>
      <c r="P32" s="20"/>
      <c r="Q32" s="20"/>
      <c r="R32" s="32" t="str">
        <f>Pivots!A122</f>
        <v>C0005</v>
      </c>
      <c r="S32" s="30">
        <f>Pivots!B122</f>
        <v>1104</v>
      </c>
      <c r="T32" s="30">
        <f>Pivots!C122</f>
        <v>2280</v>
      </c>
      <c r="U32" s="30">
        <f>Pivots!D122</f>
        <v>1445</v>
      </c>
      <c r="V32" s="30">
        <f>Pivots!E122</f>
        <v>1722</v>
      </c>
      <c r="W32" s="30">
        <f>Pivots!F122</f>
        <v>1196</v>
      </c>
      <c r="X32" s="31">
        <f>Pivots!G122</f>
        <v>7747</v>
      </c>
      <c r="Y32" s="20"/>
      <c r="Z32" s="20"/>
      <c r="AA32" s="20"/>
      <c r="AB32" s="20"/>
      <c r="AC32" s="20"/>
      <c r="AD32" s="20"/>
      <c r="AE32" s="20"/>
      <c r="AF32" s="20"/>
      <c r="AG32" s="20"/>
      <c r="AH32" s="20"/>
      <c r="AI32" s="20"/>
    </row>
    <row r="33" spans="1:35" x14ac:dyDescent="0.35">
      <c r="A33" s="20"/>
      <c r="B33" s="20"/>
      <c r="C33" s="20"/>
      <c r="D33" s="20"/>
      <c r="E33" s="20"/>
      <c r="F33" s="20"/>
      <c r="G33" s="20"/>
      <c r="H33" s="20"/>
      <c r="I33" s="20"/>
      <c r="J33" s="20"/>
      <c r="K33" s="20"/>
      <c r="L33" s="20"/>
      <c r="M33" s="20"/>
      <c r="N33" s="20"/>
      <c r="O33" s="20"/>
      <c r="P33" s="20"/>
      <c r="Q33" s="20"/>
      <c r="R33" s="32" t="str">
        <f>Pivots!A123</f>
        <v>C0006</v>
      </c>
      <c r="S33" s="30">
        <f>Pivots!B123</f>
        <v>372</v>
      </c>
      <c r="T33" s="30">
        <f>Pivots!C123</f>
        <v>1818</v>
      </c>
      <c r="U33" s="30">
        <f>Pivots!D123</f>
        <v>1346</v>
      </c>
      <c r="V33" s="30">
        <f>Pivots!E123</f>
        <v>1156</v>
      </c>
      <c r="W33" s="30">
        <f>Pivots!F123</f>
        <v>1484</v>
      </c>
      <c r="X33" s="31">
        <f>Pivots!G123</f>
        <v>6176</v>
      </c>
      <c r="Y33" s="20"/>
      <c r="Z33" s="20"/>
      <c r="AA33" s="20"/>
      <c r="AB33" s="20"/>
      <c r="AC33" s="20"/>
      <c r="AD33" s="20"/>
      <c r="AE33" s="20"/>
      <c r="AF33" s="20"/>
      <c r="AG33" s="20"/>
      <c r="AH33" s="20"/>
      <c r="AI33" s="20"/>
    </row>
    <row r="34" spans="1:35" x14ac:dyDescent="0.35">
      <c r="A34" s="20"/>
      <c r="B34" s="20"/>
      <c r="C34" s="20"/>
      <c r="D34" s="20"/>
      <c r="E34" s="20"/>
      <c r="F34" s="20"/>
      <c r="G34" s="20"/>
      <c r="H34" s="20"/>
      <c r="I34" s="20"/>
      <c r="J34" s="20"/>
      <c r="K34" s="20"/>
      <c r="L34" s="20"/>
      <c r="M34" s="20"/>
      <c r="N34" s="20"/>
      <c r="O34" s="20"/>
      <c r="P34" s="20"/>
      <c r="Q34" s="20"/>
      <c r="R34" s="32" t="str">
        <f>Pivots!A124</f>
        <v>C0009</v>
      </c>
      <c r="S34" s="30">
        <f>Pivots!B124</f>
        <v>1415</v>
      </c>
      <c r="T34" s="30">
        <f>Pivots!C124</f>
        <v>1271</v>
      </c>
      <c r="U34" s="30">
        <f>Pivots!D124</f>
        <v>1214</v>
      </c>
      <c r="V34" s="30">
        <f>Pivots!E124</f>
        <v>1135</v>
      </c>
      <c r="W34" s="30">
        <f>Pivots!F124</f>
        <v>1566</v>
      </c>
      <c r="X34" s="31">
        <f>Pivots!G124</f>
        <v>6601</v>
      </c>
      <c r="Y34" s="20"/>
      <c r="Z34" s="20"/>
      <c r="AA34" s="20"/>
      <c r="AB34" s="20"/>
      <c r="AC34" s="20"/>
      <c r="AD34" s="20"/>
      <c r="AE34" s="20"/>
      <c r="AF34" s="20"/>
      <c r="AG34" s="20"/>
      <c r="AH34" s="20"/>
      <c r="AI34" s="20"/>
    </row>
    <row r="35" spans="1:35" x14ac:dyDescent="0.35">
      <c r="A35" s="20"/>
      <c r="B35" s="20"/>
      <c r="C35" s="20"/>
      <c r="D35" s="20"/>
      <c r="E35" s="20"/>
      <c r="F35" s="20"/>
      <c r="G35" s="20"/>
      <c r="H35" s="20"/>
      <c r="I35" s="20"/>
      <c r="J35" s="20"/>
      <c r="K35" s="20"/>
      <c r="L35" s="20"/>
      <c r="M35" s="20"/>
      <c r="N35" s="20"/>
      <c r="O35" s="20"/>
      <c r="P35" s="20"/>
      <c r="Q35" s="20"/>
      <c r="R35" s="33" t="str">
        <f>Pivots!A125</f>
        <v>C0014</v>
      </c>
      <c r="S35" s="34">
        <f>Pivots!B125</f>
        <v>1362</v>
      </c>
      <c r="T35" s="34">
        <f>Pivots!C125</f>
        <v>1363</v>
      </c>
      <c r="U35" s="34">
        <f>Pivots!D125</f>
        <v>1152</v>
      </c>
      <c r="V35" s="34">
        <f>Pivots!E125</f>
        <v>777</v>
      </c>
      <c r="W35" s="34">
        <f>Pivots!F125</f>
        <v>750</v>
      </c>
      <c r="X35" s="35">
        <f>Pivots!G125</f>
        <v>5404</v>
      </c>
      <c r="Y35" s="20"/>
      <c r="Z35" s="20"/>
      <c r="AA35" s="20"/>
      <c r="AB35" s="20"/>
      <c r="AC35" s="20"/>
      <c r="AD35" s="20"/>
      <c r="AE35" s="20"/>
      <c r="AF35" s="20"/>
      <c r="AG35" s="20"/>
      <c r="AH35" s="20"/>
      <c r="AI35" s="20"/>
    </row>
    <row r="36" spans="1:35" x14ac:dyDescent="0.35">
      <c r="A36" s="20"/>
      <c r="B36" s="20"/>
      <c r="C36" s="20"/>
      <c r="D36" s="20"/>
      <c r="E36" s="20"/>
      <c r="F36" s="20"/>
      <c r="G36" s="20"/>
      <c r="H36" s="20"/>
      <c r="I36" s="20"/>
      <c r="J36" s="20"/>
      <c r="K36" s="20"/>
      <c r="L36" s="20"/>
      <c r="M36" s="20"/>
      <c r="N36" s="20"/>
      <c r="O36" s="20"/>
      <c r="P36" s="20"/>
      <c r="Q36" s="20"/>
      <c r="Y36" s="20"/>
      <c r="Z36" s="20"/>
      <c r="AA36" s="20"/>
      <c r="AB36" s="20"/>
      <c r="AC36" s="20"/>
      <c r="AD36" s="20"/>
      <c r="AE36" s="20"/>
      <c r="AF36" s="20"/>
      <c r="AG36" s="20"/>
      <c r="AH36" s="20"/>
      <c r="AI36" s="20"/>
    </row>
    <row r="37" spans="1:35" x14ac:dyDescent="0.3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row>
    <row r="38" spans="1:35" x14ac:dyDescent="0.3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spans="1:35" x14ac:dyDescent="0.3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sheetData>
  <conditionalFormatting sqref="S18:W35">
    <cfRule type="dataBar" priority="2">
      <dataBar>
        <cfvo type="num" val="0"/>
        <cfvo type="formula" val="MAX($S$18:$W$35)*2"/>
        <color theme="1" tint="0.249977111117893"/>
      </dataBar>
      <extLst>
        <ext xmlns:x14="http://schemas.microsoft.com/office/spreadsheetml/2009/9/main" uri="{B025F937-C7B1-47D3-B67F-A62EFF666E3E}">
          <x14:id>{AEDDA8A4-C041-4682-9608-75814A35F219}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D74747E2-0988-4A97-A497-BA8C03057C97}">
            <xm:f>S$17=Pivots!$D$66</xm:f>
            <x14:dxf>
              <fill>
                <patternFill>
                  <bgColor theme="8" tint="0.59996337778862885"/>
                </patternFill>
              </fill>
            </x14:dxf>
          </x14:cfRule>
          <xm:sqref>S17:W35</xm:sqref>
        </x14:conditionalFormatting>
        <x14:conditionalFormatting xmlns:xm="http://schemas.microsoft.com/office/excel/2006/main">
          <x14:cfRule type="dataBar" id="{AEDDA8A4-C041-4682-9608-75814A35F219}">
            <x14:dataBar minLength="0" maxLength="100" gradient="0">
              <x14:cfvo type="num">
                <xm:f>0</xm:f>
              </x14:cfvo>
              <x14:cfvo type="formula">
                <xm:f>MAX($S$18:$W$35)*2</xm:f>
              </x14:cfvo>
              <x14:negativeFillColor rgb="FFFF0000"/>
              <x14:axisColor rgb="FF000000"/>
            </x14:dataBar>
          </x14:cfRule>
          <xm:sqref>S18:W35</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6A1F-99BD-4455-90C1-638EFF6F3F82}">
  <dimension ref="A3:J125"/>
  <sheetViews>
    <sheetView topLeftCell="D59" workbookViewId="0">
      <selection activeCell="H76" sqref="H76"/>
    </sheetView>
  </sheetViews>
  <sheetFormatPr defaultRowHeight="14.5" x14ac:dyDescent="0.35"/>
  <cols>
    <col min="1" max="1" width="12.36328125" bestFit="1" customWidth="1"/>
    <col min="2" max="2" width="8.90625" bestFit="1" customWidth="1"/>
    <col min="3" max="3" width="9.90625" bestFit="1" customWidth="1"/>
    <col min="4" max="4" width="12.36328125" bestFit="1" customWidth="1"/>
    <col min="5" max="5" width="9.90625" bestFit="1" customWidth="1"/>
    <col min="6" max="6" width="6.7265625" bestFit="1" customWidth="1"/>
    <col min="7" max="7" width="12.36328125" bestFit="1" customWidth="1"/>
    <col min="8" max="8" width="8.90625" bestFit="1" customWidth="1"/>
    <col min="9" max="9" width="10.6328125" bestFit="1" customWidth="1"/>
    <col min="10" max="10" width="10.54296875" customWidth="1"/>
  </cols>
  <sheetData>
    <row r="3" spans="1:5" x14ac:dyDescent="0.35">
      <c r="A3" t="s">
        <v>1042</v>
      </c>
      <c r="B3" t="s">
        <v>1043</v>
      </c>
      <c r="C3" t="s">
        <v>1044</v>
      </c>
      <c r="D3" t="s">
        <v>1045</v>
      </c>
      <c r="E3" t="s">
        <v>1046</v>
      </c>
    </row>
    <row r="4" spans="1:5" x14ac:dyDescent="0.35">
      <c r="A4" s="21">
        <v>1000</v>
      </c>
      <c r="B4" s="27">
        <v>96623</v>
      </c>
      <c r="C4" s="21">
        <v>89850</v>
      </c>
      <c r="D4" s="22">
        <v>3.8854000000000033</v>
      </c>
      <c r="E4" s="21">
        <v>307</v>
      </c>
    </row>
    <row r="9" spans="1:5" x14ac:dyDescent="0.35">
      <c r="A9" t="s">
        <v>1042</v>
      </c>
      <c r="B9" t="s">
        <v>1043</v>
      </c>
      <c r="C9" t="s">
        <v>1044</v>
      </c>
      <c r="D9" t="s">
        <v>1045</v>
      </c>
      <c r="E9" t="s">
        <v>1046</v>
      </c>
    </row>
    <row r="10" spans="1:5" x14ac:dyDescent="0.35">
      <c r="A10" s="21">
        <v>218</v>
      </c>
      <c r="B10" s="40">
        <v>20581</v>
      </c>
      <c r="C10" s="21">
        <v>19300</v>
      </c>
      <c r="D10" s="22">
        <v>3.8706422018348627</v>
      </c>
      <c r="E10" s="21">
        <v>74</v>
      </c>
    </row>
    <row r="24" spans="1:8" x14ac:dyDescent="0.35">
      <c r="A24" s="23" t="s">
        <v>1047</v>
      </c>
      <c r="B24" t="s">
        <v>1042</v>
      </c>
      <c r="C24" t="s">
        <v>1061</v>
      </c>
      <c r="G24" s="23" t="s">
        <v>1047</v>
      </c>
      <c r="H24" t="s">
        <v>1042</v>
      </c>
    </row>
    <row r="25" spans="1:8" x14ac:dyDescent="0.35">
      <c r="A25" s="24" t="s">
        <v>1049</v>
      </c>
      <c r="B25" s="21">
        <v>19</v>
      </c>
      <c r="C25" s="21">
        <v>19</v>
      </c>
      <c r="G25" s="24" t="s">
        <v>1065</v>
      </c>
      <c r="H25" s="21">
        <v>28</v>
      </c>
    </row>
    <row r="26" spans="1:8" x14ac:dyDescent="0.35">
      <c r="A26" s="24" t="s">
        <v>1050</v>
      </c>
      <c r="B26" s="21">
        <v>10</v>
      </c>
      <c r="C26" s="21">
        <v>10</v>
      </c>
      <c r="G26" s="24" t="s">
        <v>1063</v>
      </c>
      <c r="H26" s="21">
        <v>24</v>
      </c>
    </row>
    <row r="27" spans="1:8" x14ac:dyDescent="0.35">
      <c r="A27" s="24" t="s">
        <v>1051</v>
      </c>
      <c r="B27" s="21">
        <v>40</v>
      </c>
      <c r="C27" s="21">
        <v>40</v>
      </c>
      <c r="G27" s="24" t="s">
        <v>1067</v>
      </c>
      <c r="H27" s="21">
        <v>44</v>
      </c>
    </row>
    <row r="28" spans="1:8" x14ac:dyDescent="0.35">
      <c r="A28" s="24" t="s">
        <v>1052</v>
      </c>
      <c r="B28" s="21">
        <v>40</v>
      </c>
      <c r="C28" s="21">
        <v>40</v>
      </c>
      <c r="G28" s="24" t="s">
        <v>1068</v>
      </c>
      <c r="H28" s="21">
        <v>36</v>
      </c>
    </row>
    <row r="29" spans="1:8" x14ac:dyDescent="0.35">
      <c r="A29" s="24" t="s">
        <v>1053</v>
      </c>
      <c r="B29" s="21">
        <v>13</v>
      </c>
      <c r="C29" s="21">
        <v>13</v>
      </c>
      <c r="G29" s="24" t="s">
        <v>1066</v>
      </c>
      <c r="H29" s="21">
        <v>33</v>
      </c>
    </row>
    <row r="30" spans="1:8" x14ac:dyDescent="0.35">
      <c r="A30" s="24" t="s">
        <v>1054</v>
      </c>
      <c r="B30" s="21">
        <v>12</v>
      </c>
      <c r="C30" s="21">
        <v>12</v>
      </c>
      <c r="G30" s="24" t="s">
        <v>1062</v>
      </c>
      <c r="H30" s="21">
        <v>29</v>
      </c>
    </row>
    <row r="31" spans="1:8" x14ac:dyDescent="0.35">
      <c r="A31" s="24" t="s">
        <v>1055</v>
      </c>
      <c r="B31" s="21">
        <v>9</v>
      </c>
      <c r="C31" s="21">
        <v>9</v>
      </c>
      <c r="G31" s="24" t="s">
        <v>1064</v>
      </c>
      <c r="H31" s="21">
        <v>24</v>
      </c>
    </row>
    <row r="32" spans="1:8" x14ac:dyDescent="0.35">
      <c r="A32" s="24" t="s">
        <v>1056</v>
      </c>
      <c r="B32" s="21">
        <v>13</v>
      </c>
      <c r="C32" s="21">
        <v>13</v>
      </c>
      <c r="G32" s="24" t="s">
        <v>1048</v>
      </c>
      <c r="H32" s="21">
        <v>218</v>
      </c>
    </row>
    <row r="33" spans="1:3" x14ac:dyDescent="0.35">
      <c r="A33" s="24" t="s">
        <v>1057</v>
      </c>
      <c r="B33" s="21">
        <v>18</v>
      </c>
      <c r="C33" s="21">
        <v>18</v>
      </c>
    </row>
    <row r="34" spans="1:3" x14ac:dyDescent="0.35">
      <c r="A34" s="24" t="s">
        <v>1058</v>
      </c>
      <c r="B34" s="21">
        <v>21</v>
      </c>
      <c r="C34" s="21">
        <v>21</v>
      </c>
    </row>
    <row r="35" spans="1:3" x14ac:dyDescent="0.35">
      <c r="A35" s="24" t="s">
        <v>1059</v>
      </c>
      <c r="B35" s="21">
        <v>14</v>
      </c>
      <c r="C35" s="21">
        <v>14</v>
      </c>
    </row>
    <row r="36" spans="1:3" x14ac:dyDescent="0.35">
      <c r="A36" s="24" t="s">
        <v>1060</v>
      </c>
      <c r="B36" s="21">
        <v>9</v>
      </c>
      <c r="C36" s="21">
        <v>9</v>
      </c>
    </row>
    <row r="37" spans="1:3" x14ac:dyDescent="0.35">
      <c r="A37" s="24" t="s">
        <v>1048</v>
      </c>
      <c r="B37" s="21">
        <v>218</v>
      </c>
      <c r="C37" s="21">
        <v>218</v>
      </c>
    </row>
    <row r="50" spans="1:10" x14ac:dyDescent="0.35">
      <c r="F50" t="s">
        <v>1069</v>
      </c>
      <c r="I50" t="s">
        <v>1075</v>
      </c>
      <c r="J50" t="str">
        <f>D66</f>
        <v>R02</v>
      </c>
    </row>
    <row r="52" spans="1:10" x14ac:dyDescent="0.35">
      <c r="A52" s="23" t="s">
        <v>1047</v>
      </c>
      <c r="B52" t="s">
        <v>1042</v>
      </c>
      <c r="C52" t="s">
        <v>1043</v>
      </c>
      <c r="F52" t="s">
        <v>1072</v>
      </c>
      <c r="G52" t="s">
        <v>1071</v>
      </c>
      <c r="H52" t="s">
        <v>1070</v>
      </c>
      <c r="I52" t="s">
        <v>1073</v>
      </c>
      <c r="J52" t="s">
        <v>1074</v>
      </c>
    </row>
    <row r="53" spans="1:10" x14ac:dyDescent="0.35">
      <c r="A53" s="24" t="s">
        <v>11</v>
      </c>
      <c r="B53" s="21">
        <v>189</v>
      </c>
      <c r="C53" s="27">
        <v>18415</v>
      </c>
      <c r="F53" t="str">
        <f>A53</f>
        <v>R01</v>
      </c>
      <c r="G53" s="21">
        <f>B53</f>
        <v>189</v>
      </c>
      <c r="H53" s="25">
        <f t="shared" ref="H53:H57" si="0">C53</f>
        <v>18415</v>
      </c>
      <c r="I53" t="e">
        <f>IF(F53=$J$50,G53,NA())</f>
        <v>#N/A</v>
      </c>
      <c r="J53" t="e">
        <f>IF(F53=$J$50,H53,NA())</f>
        <v>#N/A</v>
      </c>
    </row>
    <row r="54" spans="1:10" x14ac:dyDescent="0.35">
      <c r="A54" s="24" t="s">
        <v>9</v>
      </c>
      <c r="B54" s="21">
        <v>218</v>
      </c>
      <c r="C54" s="27">
        <v>20581</v>
      </c>
      <c r="F54" t="str">
        <f t="shared" ref="F54:F57" si="1">A54</f>
        <v>R02</v>
      </c>
      <c r="G54" s="21">
        <f>B54</f>
        <v>218</v>
      </c>
      <c r="H54" s="25">
        <f t="shared" si="0"/>
        <v>20581</v>
      </c>
      <c r="I54">
        <f t="shared" ref="I54:I57" si="2">IF(F54=$J$50,G54,NA())</f>
        <v>218</v>
      </c>
      <c r="J54">
        <f t="shared" ref="J54:J57" si="3">IF(F54=$J$50,H54,NA())</f>
        <v>20581</v>
      </c>
    </row>
    <row r="55" spans="1:10" x14ac:dyDescent="0.35">
      <c r="A55" s="24" t="s">
        <v>6</v>
      </c>
      <c r="B55" s="21">
        <v>207</v>
      </c>
      <c r="C55" s="27">
        <v>20872</v>
      </c>
      <c r="F55" t="str">
        <f t="shared" si="1"/>
        <v>R03</v>
      </c>
      <c r="G55" s="21">
        <f>B55</f>
        <v>207</v>
      </c>
      <c r="H55" s="25">
        <f t="shared" si="0"/>
        <v>20872</v>
      </c>
      <c r="I55" t="e">
        <f t="shared" si="2"/>
        <v>#N/A</v>
      </c>
      <c r="J55" t="e">
        <f t="shared" si="3"/>
        <v>#N/A</v>
      </c>
    </row>
    <row r="56" spans="1:10" x14ac:dyDescent="0.35">
      <c r="A56" s="24" t="s">
        <v>13</v>
      </c>
      <c r="B56" s="21">
        <v>186</v>
      </c>
      <c r="C56" s="27">
        <v>16651</v>
      </c>
      <c r="F56" t="str">
        <f t="shared" si="1"/>
        <v>R04</v>
      </c>
      <c r="G56" s="21">
        <f>B56</f>
        <v>186</v>
      </c>
      <c r="H56" s="25">
        <f t="shared" si="0"/>
        <v>16651</v>
      </c>
      <c r="I56" t="e">
        <f t="shared" si="2"/>
        <v>#N/A</v>
      </c>
      <c r="J56" t="e">
        <f t="shared" si="3"/>
        <v>#N/A</v>
      </c>
    </row>
    <row r="57" spans="1:10" x14ac:dyDescent="0.35">
      <c r="A57" s="24" t="s">
        <v>10</v>
      </c>
      <c r="B57" s="21">
        <v>200</v>
      </c>
      <c r="C57" s="27">
        <v>20104</v>
      </c>
      <c r="F57" t="str">
        <f t="shared" si="1"/>
        <v>R05</v>
      </c>
      <c r="G57" s="21">
        <f>B57</f>
        <v>200</v>
      </c>
      <c r="H57" s="25">
        <f t="shared" si="0"/>
        <v>20104</v>
      </c>
      <c r="I57" t="e">
        <f t="shared" si="2"/>
        <v>#N/A</v>
      </c>
      <c r="J57" t="e">
        <f t="shared" si="3"/>
        <v>#N/A</v>
      </c>
    </row>
    <row r="58" spans="1:10" x14ac:dyDescent="0.35">
      <c r="A58" s="24" t="s">
        <v>1048</v>
      </c>
      <c r="B58" s="21">
        <v>1000</v>
      </c>
      <c r="C58" s="27">
        <v>96623</v>
      </c>
    </row>
    <row r="63" spans="1:10" x14ac:dyDescent="0.35">
      <c r="G63" t="s">
        <v>1078</v>
      </c>
    </row>
    <row r="65" spans="1:8" x14ac:dyDescent="0.35">
      <c r="D65" s="23" t="s">
        <v>1047</v>
      </c>
      <c r="G65" t="s">
        <v>1079</v>
      </c>
      <c r="H65" s="39">
        <f>A10%</f>
        <v>2.1800000000000002</v>
      </c>
    </row>
    <row r="66" spans="1:8" x14ac:dyDescent="0.35">
      <c r="D66" s="26" t="s">
        <v>9</v>
      </c>
      <c r="G66" t="s">
        <v>1071</v>
      </c>
      <c r="H66">
        <f>VALUE(VLOOKUP(D66, F53:H57, 2, FALSE))</f>
        <v>218</v>
      </c>
    </row>
    <row r="67" spans="1:8" x14ac:dyDescent="0.35">
      <c r="G67" t="s">
        <v>1070</v>
      </c>
      <c r="H67">
        <f>INDEX(H53:H57, MATCH(D66, F53:F57, 0))</f>
        <v>20581</v>
      </c>
    </row>
    <row r="69" spans="1:8" x14ac:dyDescent="0.35">
      <c r="G69" t="s">
        <v>1080</v>
      </c>
      <c r="H69">
        <f>_xlfn.RANK.EQ(VALUE(H66), G53:G57, 0)</f>
        <v>1</v>
      </c>
    </row>
    <row r="70" spans="1:8" x14ac:dyDescent="0.35">
      <c r="G70" t="s">
        <v>1081</v>
      </c>
      <c r="H70">
        <f>_xlfn.RANK.EQ(H67*1, H53:H57, 0)</f>
        <v>2</v>
      </c>
    </row>
    <row r="72" spans="1:8" x14ac:dyDescent="0.35">
      <c r="G72" t="s">
        <v>1082</v>
      </c>
    </row>
    <row r="73" spans="1:8" x14ac:dyDescent="0.35">
      <c r="H73" t="str">
        <f>"% of calls:"&amp;TEXT(H65,"0%")</f>
        <v>% of calls:218%</v>
      </c>
    </row>
    <row r="74" spans="1:8" x14ac:dyDescent="0.35">
      <c r="H74" t="str">
        <f>IF(COUNTA(D66:D70)&gt;1,"","Call rank:"&amp;H69)</f>
        <v>Call rank:1</v>
      </c>
    </row>
    <row r="76" spans="1:8" x14ac:dyDescent="0.35">
      <c r="G76" t="s">
        <v>1083</v>
      </c>
      <c r="H76" t="e">
        <f ca="1">XLOOKUP(D66,Pivots!E3:E7)</f>
        <v>#NAME?</v>
      </c>
    </row>
    <row r="77" spans="1:8" x14ac:dyDescent="0.35">
      <c r="A77" s="23" t="s">
        <v>1042</v>
      </c>
      <c r="B77" s="23" t="s">
        <v>1076</v>
      </c>
    </row>
    <row r="78" spans="1:8" x14ac:dyDescent="0.35">
      <c r="A78" s="23" t="s">
        <v>1047</v>
      </c>
      <c r="B78" t="s">
        <v>999</v>
      </c>
      <c r="C78" t="s">
        <v>998</v>
      </c>
      <c r="D78" t="s">
        <v>1048</v>
      </c>
    </row>
    <row r="79" spans="1:8" x14ac:dyDescent="0.35">
      <c r="A79" s="24" t="s">
        <v>1002</v>
      </c>
      <c r="B79" s="21">
        <v>144</v>
      </c>
      <c r="C79" s="21">
        <v>132</v>
      </c>
      <c r="D79" s="21">
        <v>276</v>
      </c>
    </row>
    <row r="80" spans="1:8" x14ac:dyDescent="0.35">
      <c r="A80" s="24" t="s">
        <v>1001</v>
      </c>
      <c r="B80" s="21">
        <v>326</v>
      </c>
      <c r="C80" s="21">
        <v>63</v>
      </c>
      <c r="D80" s="21">
        <v>389</v>
      </c>
    </row>
    <row r="81" spans="1:4" x14ac:dyDescent="0.35">
      <c r="A81" s="24" t="s">
        <v>1000</v>
      </c>
      <c r="B81" s="21">
        <v>129</v>
      </c>
      <c r="C81" s="21">
        <v>206</v>
      </c>
      <c r="D81" s="21">
        <v>335</v>
      </c>
    </row>
    <row r="82" spans="1:4" x14ac:dyDescent="0.35">
      <c r="A82" s="24" t="s">
        <v>1048</v>
      </c>
      <c r="B82" s="21">
        <v>599</v>
      </c>
      <c r="C82" s="21">
        <v>401</v>
      </c>
      <c r="D82" s="21">
        <v>1000</v>
      </c>
    </row>
    <row r="89" spans="1:4" x14ac:dyDescent="0.35">
      <c r="A89" s="23" t="s">
        <v>1047</v>
      </c>
      <c r="B89" t="s">
        <v>1042</v>
      </c>
    </row>
    <row r="90" spans="1:4" x14ac:dyDescent="0.35">
      <c r="A90" s="24">
        <v>1</v>
      </c>
      <c r="B90" s="21">
        <v>3</v>
      </c>
    </row>
    <row r="91" spans="1:4" x14ac:dyDescent="0.35">
      <c r="A91" s="24">
        <v>2</v>
      </c>
      <c r="B91" s="21">
        <v>19</v>
      </c>
    </row>
    <row r="92" spans="1:4" x14ac:dyDescent="0.35">
      <c r="A92" s="24">
        <v>3</v>
      </c>
      <c r="B92" s="21">
        <v>35</v>
      </c>
    </row>
    <row r="93" spans="1:4" x14ac:dyDescent="0.35">
      <c r="A93" s="24">
        <v>4</v>
      </c>
      <c r="B93" s="21">
        <v>87</v>
      </c>
    </row>
    <row r="94" spans="1:4" x14ac:dyDescent="0.35">
      <c r="A94" s="24">
        <v>5</v>
      </c>
      <c r="B94" s="21">
        <v>74</v>
      </c>
    </row>
    <row r="95" spans="1:4" x14ac:dyDescent="0.35">
      <c r="A95" s="24" t="s">
        <v>1048</v>
      </c>
      <c r="B95" s="21">
        <v>218</v>
      </c>
    </row>
    <row r="106" spans="1:7" x14ac:dyDescent="0.35">
      <c r="A106" s="23" t="s">
        <v>1043</v>
      </c>
      <c r="B106" s="23" t="s">
        <v>1076</v>
      </c>
    </row>
    <row r="107" spans="1:7" x14ac:dyDescent="0.35">
      <c r="A107" s="23" t="s">
        <v>1047</v>
      </c>
      <c r="B107" t="s">
        <v>11</v>
      </c>
      <c r="C107" t="s">
        <v>9</v>
      </c>
      <c r="D107" t="s">
        <v>6</v>
      </c>
      <c r="E107" t="s">
        <v>13</v>
      </c>
      <c r="F107" t="s">
        <v>10</v>
      </c>
      <c r="G107" t="s">
        <v>1048</v>
      </c>
    </row>
    <row r="108" spans="1:7" x14ac:dyDescent="0.35">
      <c r="A108" s="24" t="s">
        <v>1002</v>
      </c>
    </row>
    <row r="109" spans="1:7" x14ac:dyDescent="0.35">
      <c r="A109" s="28" t="s">
        <v>20</v>
      </c>
      <c r="B109" s="27">
        <v>891</v>
      </c>
      <c r="C109" s="27">
        <v>1332</v>
      </c>
      <c r="D109" s="27">
        <v>1282</v>
      </c>
      <c r="E109" s="27">
        <v>739</v>
      </c>
      <c r="F109" s="27">
        <v>560</v>
      </c>
      <c r="G109" s="27">
        <v>4804</v>
      </c>
    </row>
    <row r="110" spans="1:7" x14ac:dyDescent="0.35">
      <c r="A110" s="28" t="s">
        <v>12</v>
      </c>
      <c r="B110" s="27">
        <v>1991</v>
      </c>
      <c r="C110" s="27">
        <v>1886</v>
      </c>
      <c r="D110" s="27">
        <v>1206</v>
      </c>
      <c r="E110" s="27">
        <v>884</v>
      </c>
      <c r="F110" s="27">
        <v>1722</v>
      </c>
      <c r="G110" s="27">
        <v>7689</v>
      </c>
    </row>
    <row r="111" spans="1:7" x14ac:dyDescent="0.35">
      <c r="A111" s="28" t="s">
        <v>8</v>
      </c>
      <c r="B111" s="27">
        <v>1163</v>
      </c>
      <c r="C111" s="27">
        <v>1180</v>
      </c>
      <c r="D111" s="27">
        <v>1616</v>
      </c>
      <c r="E111" s="27">
        <v>1043</v>
      </c>
      <c r="F111" s="27">
        <v>1747</v>
      </c>
      <c r="G111" s="27">
        <v>6749</v>
      </c>
    </row>
    <row r="112" spans="1:7" x14ac:dyDescent="0.35">
      <c r="A112" s="28" t="s">
        <v>16</v>
      </c>
      <c r="B112" s="27">
        <v>1438</v>
      </c>
      <c r="C112" s="27">
        <v>1616</v>
      </c>
      <c r="D112" s="27">
        <v>866</v>
      </c>
      <c r="E112" s="27">
        <v>829</v>
      </c>
      <c r="F112" s="27">
        <v>2070</v>
      </c>
      <c r="G112" s="27">
        <v>6819</v>
      </c>
    </row>
    <row r="113" spans="1:7" x14ac:dyDescent="0.35">
      <c r="A113" s="24" t="s">
        <v>1001</v>
      </c>
    </row>
    <row r="114" spans="1:7" x14ac:dyDescent="0.35">
      <c r="A114" s="28" t="s">
        <v>24</v>
      </c>
      <c r="B114" s="27">
        <v>1233</v>
      </c>
      <c r="C114" s="27">
        <v>223</v>
      </c>
      <c r="D114" s="27">
        <v>1680</v>
      </c>
      <c r="E114" s="27">
        <v>990</v>
      </c>
      <c r="F114" s="27">
        <v>1508</v>
      </c>
      <c r="G114" s="27">
        <v>5634</v>
      </c>
    </row>
    <row r="115" spans="1:7" x14ac:dyDescent="0.35">
      <c r="A115" s="28" t="s">
        <v>15</v>
      </c>
      <c r="B115" s="27">
        <v>1598</v>
      </c>
      <c r="C115" s="27">
        <v>1907</v>
      </c>
      <c r="D115" s="27">
        <v>869</v>
      </c>
      <c r="E115" s="27">
        <v>1426</v>
      </c>
      <c r="F115" s="27">
        <v>1416</v>
      </c>
      <c r="G115" s="27">
        <v>7216</v>
      </c>
    </row>
    <row r="116" spans="1:7" x14ac:dyDescent="0.35">
      <c r="A116" s="28" t="s">
        <v>5</v>
      </c>
      <c r="B116" s="27">
        <v>900</v>
      </c>
      <c r="C116" s="27">
        <v>1016</v>
      </c>
      <c r="D116" s="27">
        <v>960</v>
      </c>
      <c r="E116" s="27">
        <v>940</v>
      </c>
      <c r="F116" s="27">
        <v>1193</v>
      </c>
      <c r="G116" s="27">
        <v>5009</v>
      </c>
    </row>
    <row r="117" spans="1:7" x14ac:dyDescent="0.35">
      <c r="A117" s="28" t="s">
        <v>18</v>
      </c>
      <c r="B117" s="27">
        <v>900</v>
      </c>
      <c r="C117" s="27">
        <v>1470</v>
      </c>
      <c r="D117" s="27">
        <v>1617</v>
      </c>
      <c r="E117" s="27">
        <v>1314</v>
      </c>
      <c r="F117" s="27">
        <v>941</v>
      </c>
      <c r="G117" s="27">
        <v>6242</v>
      </c>
    </row>
    <row r="118" spans="1:7" x14ac:dyDescent="0.35">
      <c r="A118" s="28" t="s">
        <v>14</v>
      </c>
      <c r="B118" s="27">
        <v>1255</v>
      </c>
      <c r="C118" s="27">
        <v>516</v>
      </c>
      <c r="D118" s="27">
        <v>1874</v>
      </c>
      <c r="E118" s="27">
        <v>1863</v>
      </c>
      <c r="F118" s="27">
        <v>1722</v>
      </c>
      <c r="G118" s="27">
        <v>7230</v>
      </c>
    </row>
    <row r="119" spans="1:7" x14ac:dyDescent="0.35">
      <c r="A119" s="28" t="s">
        <v>19</v>
      </c>
      <c r="B119" s="27">
        <v>1138</v>
      </c>
      <c r="C119" s="27">
        <v>1898</v>
      </c>
      <c r="D119" s="27">
        <v>1482</v>
      </c>
      <c r="E119" s="27">
        <v>846</v>
      </c>
      <c r="F119" s="27">
        <v>1154</v>
      </c>
      <c r="G119" s="27">
        <v>6518</v>
      </c>
    </row>
    <row r="120" spans="1:7" x14ac:dyDescent="0.35">
      <c r="A120" s="24" t="s">
        <v>1000</v>
      </c>
    </row>
    <row r="121" spans="1:7" x14ac:dyDescent="0.35">
      <c r="A121" s="28" t="s">
        <v>17</v>
      </c>
      <c r="B121" s="27">
        <v>1655</v>
      </c>
      <c r="C121" s="27">
        <v>805</v>
      </c>
      <c r="D121" s="27">
        <v>2263</v>
      </c>
      <c r="E121" s="27">
        <v>987</v>
      </c>
      <c r="F121" s="27">
        <v>1075</v>
      </c>
      <c r="G121" s="27">
        <v>6785</v>
      </c>
    </row>
    <row r="122" spans="1:7" x14ac:dyDescent="0.35">
      <c r="A122" s="28" t="s">
        <v>23</v>
      </c>
      <c r="B122" s="27">
        <v>1104</v>
      </c>
      <c r="C122" s="27">
        <v>2280</v>
      </c>
      <c r="D122" s="27">
        <v>1445</v>
      </c>
      <c r="E122" s="27">
        <v>1722</v>
      </c>
      <c r="F122" s="27">
        <v>1196</v>
      </c>
      <c r="G122" s="27">
        <v>7747</v>
      </c>
    </row>
    <row r="123" spans="1:7" x14ac:dyDescent="0.35">
      <c r="A123" s="28" t="s">
        <v>7</v>
      </c>
      <c r="B123" s="27">
        <v>372</v>
      </c>
      <c r="C123" s="27">
        <v>1818</v>
      </c>
      <c r="D123" s="27">
        <v>1346</v>
      </c>
      <c r="E123" s="27">
        <v>1156</v>
      </c>
      <c r="F123" s="27">
        <v>1484</v>
      </c>
      <c r="G123" s="27">
        <v>6176</v>
      </c>
    </row>
    <row r="124" spans="1:7" x14ac:dyDescent="0.35">
      <c r="A124" s="28" t="s">
        <v>22</v>
      </c>
      <c r="B124" s="27">
        <v>1415</v>
      </c>
      <c r="C124" s="27">
        <v>1271</v>
      </c>
      <c r="D124" s="27">
        <v>1214</v>
      </c>
      <c r="E124" s="27">
        <v>1135</v>
      </c>
      <c r="F124" s="27">
        <v>1566</v>
      </c>
      <c r="G124" s="27">
        <v>6601</v>
      </c>
    </row>
    <row r="125" spans="1:7" x14ac:dyDescent="0.35">
      <c r="A125" s="28" t="s">
        <v>21</v>
      </c>
      <c r="B125" s="27">
        <v>1362</v>
      </c>
      <c r="C125" s="27">
        <v>1363</v>
      </c>
      <c r="D125" s="27">
        <v>1152</v>
      </c>
      <c r="E125" s="27">
        <v>777</v>
      </c>
      <c r="F125" s="27">
        <v>750</v>
      </c>
      <c r="G125" s="27">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abSelected="1" zoomScale="115" zoomScaleNormal="115" workbookViewId="0">
      <selection activeCell="F3" sqref="F3"/>
    </sheetView>
  </sheetViews>
  <sheetFormatPr defaultRowHeight="14.5" x14ac:dyDescent="0.35"/>
  <cols>
    <col min="5" max="5" width="10.90625" customWidth="1"/>
    <col min="6" max="6" width="9.90625" customWidth="1"/>
  </cols>
  <sheetData>
    <row r="2" spans="5:6" x14ac:dyDescent="0.35">
      <c r="E2" t="s">
        <v>1040</v>
      </c>
      <c r="F2" t="s">
        <v>1041</v>
      </c>
    </row>
    <row r="3" spans="5:6" ht="25.5" customHeight="1" x14ac:dyDescent="0.35">
      <c r="E3" t="s">
        <v>11</v>
      </c>
    </row>
    <row r="4" spans="5:6" ht="25.5" customHeight="1" x14ac:dyDescent="0.35">
      <c r="E4" t="s">
        <v>9</v>
      </c>
      <c r="F4" t="e" vm="1">
        <v>#VALUE!</v>
      </c>
    </row>
    <row r="5" spans="5:6" ht="25.5" customHeight="1" x14ac:dyDescent="0.35">
      <c r="E5" t="s">
        <v>6</v>
      </c>
      <c r="F5" t="e" vm="2">
        <v>#VALUE!</v>
      </c>
    </row>
    <row r="6" spans="5:6" ht="25.5" customHeight="1" x14ac:dyDescent="0.35">
      <c r="E6" t="s">
        <v>13</v>
      </c>
      <c r="F6" t="e" vm="3">
        <v>#VALUE!</v>
      </c>
    </row>
    <row r="7" spans="5:6" ht="25.5" customHeight="1" x14ac:dyDescent="0.35">
      <c r="E7" t="s">
        <v>10</v>
      </c>
      <c r="F7" t="e" vm="4">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Centre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lokesh nadendla</cp:lastModifiedBy>
  <dcterms:created xsi:type="dcterms:W3CDTF">2021-03-14T20:21:32Z</dcterms:created>
  <dcterms:modified xsi:type="dcterms:W3CDTF">2026-02-15T09:16:23Z</dcterms:modified>
</cp:coreProperties>
</file>